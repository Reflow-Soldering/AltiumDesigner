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9A941443-CA20-41CE-BA50-874433CD0D5F}" xr6:coauthVersionLast="47" xr6:coauthVersionMax="47" xr10:uidLastSave="{00000000-0000-0000-0000-000000000000}"/>
  <bookViews>
    <workbookView xWindow="28680" yWindow="-120" windowWidth="29040" windowHeight="15720" activeTab="4" xr2:uid="{00000000-000D-0000-FFFF-FFFF00000000}"/>
  </bookViews>
  <sheets>
    <sheet name="DAY-1(한글)" sheetId="10" r:id="rId1"/>
    <sheet name="DAY-2(한글)" sheetId="11" r:id="rId2"/>
    <sheet name="Day-3(한글)" sheetId="12" r:id="rId3"/>
    <sheet name="DAY-4(한글)" sheetId="4" r:id="rId4"/>
    <sheet name="DAY-5(한글)" sheetId="5" r:id="rId5"/>
    <sheet name="DAY-6" sheetId="6" r:id="rId6"/>
    <sheet name="Grounding" sheetId="7" r:id="rId7"/>
    <sheet name="day-10" sheetId="8" r:id="rId8"/>
    <sheet name="Bonus Session"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8" i="4" l="1"/>
  <c r="D38" i="10"/>
</calcChain>
</file>

<file path=xl/sharedStrings.xml><?xml version="1.0" encoding="utf-8"?>
<sst xmlns="http://schemas.openxmlformats.org/spreadsheetml/2006/main" count="575" uniqueCount="527">
  <si>
    <t>12v</t>
  </si>
  <si>
    <t>min</t>
  </si>
  <si>
    <t>CH340C</t>
  </si>
  <si>
    <t>Design Guidelines</t>
  </si>
  <si>
    <t>Clock Config</t>
  </si>
  <si>
    <t>Bypass Caps</t>
  </si>
  <si>
    <t>1Mhz</t>
  </si>
  <si>
    <t>ns</t>
  </si>
  <si>
    <t>3.3v&lt;x</t>
  </si>
  <si>
    <t>0.2V</t>
  </si>
  <si>
    <t>10R</t>
  </si>
  <si>
    <t>Series Termination  Resistance</t>
  </si>
  <si>
    <t>ESD DIODES/TVS DIODES</t>
  </si>
  <si>
    <t>FC(High), C(High) Imp (Low)</t>
  </si>
  <si>
    <t>TX+, TX-, RX+, RX-</t>
  </si>
  <si>
    <t>3.3V</t>
  </si>
  <si>
    <t>Working Voltage</t>
  </si>
  <si>
    <t>Isolation Voltage</t>
  </si>
  <si>
    <t>Speed</t>
  </si>
  <si>
    <t>Magnetics with RJ45</t>
  </si>
  <si>
    <t>Ferrite Bead</t>
  </si>
  <si>
    <t xml:space="preserve">Current </t>
  </si>
  <si>
    <t>IMP</t>
  </si>
  <si>
    <t>FREQ</t>
  </si>
  <si>
    <t>SWD/JTAG</t>
  </si>
  <si>
    <t>SWD</t>
  </si>
  <si>
    <t>SWDIO, SWCLK, GND</t>
  </si>
  <si>
    <t>JTAG(4/5)</t>
  </si>
  <si>
    <t>JTNRST, JTCK, JTMS, JTDI, JTDO, GND</t>
  </si>
  <si>
    <t>JTAG</t>
  </si>
  <si>
    <t>testing (Max processing)</t>
  </si>
  <si>
    <t>Arm arch</t>
  </si>
  <si>
    <t xml:space="preserve">independent </t>
  </si>
  <si>
    <t>print during deb</t>
  </si>
  <si>
    <t>not</t>
  </si>
  <si>
    <t>Symbol Desing</t>
  </si>
  <si>
    <t>IPC-STD-2612</t>
  </si>
  <si>
    <t>Footprint</t>
  </si>
  <si>
    <t>IPC-STD-7351</t>
  </si>
  <si>
    <t>3A</t>
  </si>
  <si>
    <t>VREF</t>
  </si>
  <si>
    <t>VOFF</t>
  </si>
  <si>
    <t>0.05V</t>
  </si>
  <si>
    <t>AVDD</t>
  </si>
  <si>
    <t>4.8V</t>
  </si>
  <si>
    <t>3.05V</t>
  </si>
  <si>
    <t>r2*vin/(r1+r2)</t>
  </si>
  <si>
    <t>r1/r2</t>
  </si>
  <si>
    <t>r1</t>
  </si>
  <si>
    <t>1.5k</t>
  </si>
  <si>
    <t>r2</t>
  </si>
  <si>
    <t>3k</t>
  </si>
  <si>
    <t xml:space="preserve">Page no </t>
  </si>
  <si>
    <t xml:space="preserve">application Page </t>
  </si>
  <si>
    <t>D*(1-D)*IO/ DELV*Fsw</t>
  </si>
  <si>
    <t>7.6A</t>
  </si>
  <si>
    <t>VIN=VOUT</t>
  </si>
  <si>
    <t>12V</t>
  </si>
  <si>
    <t>Cmin</t>
  </si>
  <si>
    <t>250uF</t>
  </si>
  <si>
    <t>~100uF</t>
  </si>
  <si>
    <t>ESR</t>
  </si>
  <si>
    <t xml:space="preserve">Ripple Current </t>
  </si>
  <si>
    <t>Max</t>
  </si>
  <si>
    <t>ADC</t>
  </si>
  <si>
    <t xml:space="preserve">Page No </t>
  </si>
  <si>
    <t>Filter Calc</t>
  </si>
  <si>
    <t>FC</t>
  </si>
  <si>
    <t>1/(2*PI*(R1+R2)*CDIF)</t>
  </si>
  <si>
    <t>r1=r2=1k</t>
  </si>
  <si>
    <t>CDIF</t>
  </si>
  <si>
    <t>100nF</t>
  </si>
  <si>
    <t>CM1=CM2</t>
  </si>
  <si>
    <t>10nF</t>
  </si>
  <si>
    <t>Charge Pump:</t>
  </si>
  <si>
    <t>i/p 12v</t>
  </si>
  <si>
    <t>24v</t>
  </si>
  <si>
    <t>Arangement of Capacitor, Diode, CLK, Gates</t>
  </si>
  <si>
    <t>V1 + V1</t>
  </si>
  <si>
    <t>2X 5V</t>
  </si>
  <si>
    <t>Load voltage</t>
  </si>
  <si>
    <t>Adv</t>
  </si>
  <si>
    <t>Less compo</t>
  </si>
  <si>
    <t>Min complex</t>
  </si>
  <si>
    <t>STM32F407</t>
  </si>
  <si>
    <t>Page-19</t>
  </si>
  <si>
    <t xml:space="preserve">block </t>
  </si>
  <si>
    <t>Page-24</t>
  </si>
  <si>
    <t xml:space="preserve">Boot pins </t>
  </si>
  <si>
    <t>Page-25</t>
  </si>
  <si>
    <t>PRD ON and Vdd conditions</t>
  </si>
  <si>
    <t>Page-77</t>
  </si>
  <si>
    <t>VDDs, VREF, AVDD, GNDs</t>
  </si>
  <si>
    <t>Caps</t>
  </si>
  <si>
    <t xml:space="preserve">Polar </t>
  </si>
  <si>
    <t xml:space="preserve">Non polar </t>
  </si>
  <si>
    <t>Ceramic</t>
  </si>
  <si>
    <t xml:space="preserve">Class a, Classb </t>
  </si>
  <si>
    <t>Class a (Stable, Low Leackage, Low ESR)</t>
  </si>
  <si>
    <t>MLCC(multilayer ceramic capacitor)</t>
  </si>
  <si>
    <t>Page-82</t>
  </si>
  <si>
    <t>Low esr req. for Vcap1 &amp;2</t>
  </si>
  <si>
    <t>Page-102</t>
  </si>
  <si>
    <t>Crystal req</t>
  </si>
  <si>
    <t>Page-112</t>
  </si>
  <si>
    <t>ESD Ratings</t>
  </si>
  <si>
    <t>Page-119</t>
  </si>
  <si>
    <t>Reset conditions</t>
  </si>
  <si>
    <t xml:space="preserve">Pending </t>
  </si>
  <si>
    <t>PHY RESET</t>
  </si>
  <si>
    <t>GPIO</t>
  </si>
  <si>
    <t xml:space="preserve">Motor driver </t>
  </si>
  <si>
    <t>1 PWM, 3 GPIO, 1ADC _IN</t>
  </si>
  <si>
    <t>X2</t>
  </si>
  <si>
    <t>1GPIO</t>
  </si>
  <si>
    <t>2 GPIO</t>
  </si>
  <si>
    <t>DAC</t>
  </si>
  <si>
    <t>MIC</t>
  </si>
  <si>
    <t>1 PWM 1 GPIO</t>
  </si>
  <si>
    <t xml:space="preserve">Place zener on 1.8 </t>
  </si>
  <si>
    <t>Change net labes motor-2</t>
  </si>
  <si>
    <t>Rules</t>
  </si>
  <si>
    <t>Some Advantages of MultiLayer Board</t>
  </si>
  <si>
    <t>First thing is these rules are not enough, because there can be 100s of Rules for a complex PCB.</t>
  </si>
  <si>
    <t> increases the board's ability to distribute energy</t>
  </si>
  <si>
    <t>1. ground plane boards are better because they allow signal routing in a microstrip or stripline configuration. It also significantly reduces the ground impedance and, therefore, the ground noise;</t>
  </si>
  <si>
    <t> reduces cross-interference, eliminates electromagnetic interference</t>
  </si>
  <si>
    <t>2-high speed signals should be "routed" on intermediate layers located between the various levels. In this way, ground planes can act as a shield and contain the radiation coming from the tracks at high speed</t>
  </si>
  <si>
    <t>supports high-speed signals</t>
  </si>
  <si>
    <t>3- a signal layer must always be adjacent to a plane</t>
  </si>
  <si>
    <t>While a stackup level allows you to get multiple electronic circuits on a single board through the various layers of PCB board</t>
  </si>
  <si>
    <t>4- Multiple ground planes are very advantageous, since they lower the board's ground impedance and reduce radiation in a common way;</t>
  </si>
  <si>
    <t>a stack of PCB layers can help minimize the circuit vulnerability to external noise, as well as minimize radiation and decrease impedance and crosstalk problems on high-speed systems</t>
  </si>
  <si>
    <t>5. the power to Power or GND to GND planes must be rigorously coupled together;</t>
  </si>
  <si>
    <t>good PCB stacking can also contribute to efficient and low-cost final production;</t>
  </si>
  <si>
    <t>6- Configurations should be symmetric. For example, on an eight-layer PCB, if level 2 is a plane, level 7 should also be a plane</t>
  </si>
  <si>
    <t>a correct stack of PCB layers can improve the electromagnetic compatibility of the project.</t>
  </si>
  <si>
    <t>7. Put the signal levels next to the levels of the plane (ground or power) the return current can flow on an adjacent plane reducing the inductance of the return path to a minimum;</t>
  </si>
  <si>
    <t>The higher the number of layers, the more the designer is free to unravel his circuit, with less chance of stumbling into "impossible" solution</t>
  </si>
  <si>
    <t>8. to further improve noise and EMI performance, insulation between a signal layer and its adjacent plane can be made even thinner;</t>
  </si>
  <si>
    <t>9. an important consideration to be done is the thickness of each signal layer. There are standard thicknesses together with the properties of different types of printed circuit material. When selecting the materials, it is advisable to consider their electrical, mechanical and thermal properties;</t>
  </si>
  <si>
    <t>Following Factors we have to thing Before and during the design</t>
  </si>
  <si>
    <t xml:space="preserve">No of Layer </t>
  </si>
  <si>
    <t xml:space="preserve">Number of Planes and Type of Planes </t>
  </si>
  <si>
    <t xml:space="preserve">Sequence of Layers </t>
  </si>
  <si>
    <t>Spacing b/w the Layers</t>
  </si>
  <si>
    <t>Grounding</t>
  </si>
  <si>
    <t>1- Leave nothing unconnected (Fill gnd)</t>
  </si>
  <si>
    <t>2- Never split the gnd under the signal (Multilayer )</t>
  </si>
  <si>
    <t xml:space="preserve">Always connect gnd on common point </t>
  </si>
  <si>
    <t>Minimize the series via (High freq)</t>
  </si>
  <si>
    <t>Try to route GND tracks from the biginning (2 layer , 1 layer)</t>
  </si>
  <si>
    <t>GND to Chasis GND</t>
  </si>
  <si>
    <t>Reason of Chasis should be gnd(To electric shock)</t>
  </si>
  <si>
    <t>Current flow from body</t>
  </si>
  <si>
    <t>higher potential (Body is lower pot)</t>
  </si>
  <si>
    <t>Lets suppose something touching chasis</t>
  </si>
  <si>
    <t>0V at chasis</t>
  </si>
  <si>
    <t>to maintain 0v on chasis we connect it to GND</t>
  </si>
  <si>
    <t>Very Big PCB, (Try to place Low value cap and Mega ohm reg on every monting hole)</t>
  </si>
  <si>
    <t xml:space="preserve">Reverify the schematic </t>
  </si>
  <si>
    <t xml:space="preserve">Differential Tracks </t>
  </si>
  <si>
    <t>Digital tracks</t>
  </si>
  <si>
    <t>Check for each polygon pour</t>
  </si>
  <si>
    <t xml:space="preserve">Critical (Reset, Analogs, sesnors, etc) -Create design rules for Clearance </t>
  </si>
  <si>
    <t>Place all the designators and naming</t>
  </si>
  <si>
    <t>Add a clearance rule for 5mil, adjust all the violations</t>
  </si>
  <si>
    <t>A/unit area</t>
  </si>
  <si>
    <t>Current density, Voltage drop (PDN Analysis)</t>
  </si>
  <si>
    <t>Power Nets</t>
  </si>
  <si>
    <t>3V3</t>
  </si>
  <si>
    <t>1v8</t>
  </si>
  <si>
    <t>Loads</t>
  </si>
  <si>
    <t>12v (Q2), 12V(U9)</t>
  </si>
  <si>
    <t>3V3 (u8),</t>
  </si>
  <si>
    <t>1v8(u6), 3v3(u6,u7),</t>
  </si>
  <si>
    <t>3v3(u5)</t>
  </si>
  <si>
    <t>3v3(u4)</t>
  </si>
  <si>
    <t>12v(q1), 12v(u3)</t>
  </si>
  <si>
    <t>3v3(u2)</t>
  </si>
  <si>
    <t>12v Series element NETC84_2</t>
  </si>
  <si>
    <t>12v Series element NETC90_2</t>
  </si>
  <si>
    <t>3v3 Series load Net c11_2</t>
  </si>
  <si>
    <t>3v3(u1)</t>
  </si>
  <si>
    <t>R19</t>
  </si>
  <si>
    <t>R43</t>
  </si>
  <si>
    <t>All I/O Voltage Nets</t>
  </si>
  <si>
    <t>Loads at different Volatge</t>
  </si>
  <si>
    <t>Series Ele. Netc84_2</t>
  </si>
  <si>
    <t>12V (Q1,Q2), Current Sesnse (R19, R43)</t>
  </si>
  <si>
    <t>NETC84_2 (U10)</t>
  </si>
  <si>
    <t>3V3(U1, U2)</t>
  </si>
  <si>
    <t>MCU</t>
    <phoneticPr fontId="5" type="noConversion"/>
  </si>
  <si>
    <t>GPIO 수</t>
    <phoneticPr fontId="5" type="noConversion"/>
  </si>
  <si>
    <t>I2C 수</t>
    <phoneticPr fontId="5" type="noConversion"/>
  </si>
  <si>
    <t>UART 수</t>
    <phoneticPr fontId="5" type="noConversion"/>
  </si>
  <si>
    <t>Clock</t>
    <phoneticPr fontId="5" type="noConversion"/>
  </si>
  <si>
    <t>Flash 용량</t>
    <phoneticPr fontId="5" type="noConversion"/>
  </si>
  <si>
    <t>RAM</t>
    <phoneticPr fontId="5" type="noConversion"/>
  </si>
  <si>
    <t>VDD</t>
    <phoneticPr fontId="5" type="noConversion"/>
  </si>
  <si>
    <t>제조사</t>
    <phoneticPr fontId="5" type="noConversion"/>
  </si>
  <si>
    <t>비고</t>
    <phoneticPr fontId="5" type="noConversion"/>
  </si>
  <si>
    <t>실제 사양</t>
    <phoneticPr fontId="5" type="noConversion"/>
  </si>
  <si>
    <t>가능여부</t>
    <phoneticPr fontId="5" type="noConversion"/>
  </si>
  <si>
    <t>동일 벤더 디버거</t>
    <phoneticPr fontId="5" type="noConversion"/>
  </si>
  <si>
    <t>동일 사양 버스 필요</t>
    <phoneticPr fontId="5" type="noConversion"/>
  </si>
  <si>
    <t>비트 주소</t>
    <phoneticPr fontId="5" type="noConversion"/>
  </si>
  <si>
    <t>Clock 주파수</t>
    <phoneticPr fontId="5" type="noConversion"/>
  </si>
  <si>
    <t>확인사항</t>
    <phoneticPr fontId="5" type="noConversion"/>
  </si>
  <si>
    <t>ST-LINK 계열</t>
    <phoneticPr fontId="5" type="noConversion"/>
  </si>
  <si>
    <t>32bit</t>
    <phoneticPr fontId="5" type="noConversion"/>
  </si>
  <si>
    <t>2^32</t>
    <phoneticPr fontId="5" type="noConversion"/>
  </si>
  <si>
    <t>Prog. Interface</t>
    <phoneticPr fontId="5" type="noConversion"/>
  </si>
  <si>
    <t>SWD방식</t>
    <phoneticPr fontId="5" type="noConversion"/>
  </si>
  <si>
    <t>요구 사항</t>
    <phoneticPr fontId="5" type="noConversion"/>
  </si>
  <si>
    <t>Ethernet PHY</t>
    <phoneticPr fontId="5" type="noConversion"/>
  </si>
  <si>
    <t>Datalink Layer</t>
    <phoneticPr fontId="5" type="noConversion"/>
  </si>
  <si>
    <t>Physical Layer</t>
    <phoneticPr fontId="5" type="noConversion"/>
  </si>
  <si>
    <t>LAN, WAN, Wireless</t>
    <phoneticPr fontId="5" type="noConversion"/>
  </si>
  <si>
    <t>H/W(Raw Data)</t>
    <phoneticPr fontId="5" type="noConversion"/>
  </si>
  <si>
    <t>MAC Address 사용</t>
    <phoneticPr fontId="5" type="noConversion"/>
  </si>
  <si>
    <t>광통신,Twisted Pair</t>
    <phoneticPr fontId="5" type="noConversion"/>
  </si>
  <si>
    <t>MII/RMII</t>
    <phoneticPr fontId="5" type="noConversion"/>
  </si>
  <si>
    <t>Media</t>
    <phoneticPr fontId="5" type="noConversion"/>
  </si>
  <si>
    <t>100Mbits/s</t>
    <phoneticPr fontId="5" type="noConversion"/>
  </si>
  <si>
    <t>https://blog.naver.com/mhyoo1228/221856706981</t>
    <phoneticPr fontId="5" type="noConversion"/>
  </si>
  <si>
    <t>1Gbits/s</t>
    <phoneticPr fontId="5" type="noConversion"/>
  </si>
  <si>
    <t>10Gbits/s</t>
    <phoneticPr fontId="5" type="noConversion"/>
  </si>
  <si>
    <t>MII(신호선 16개)</t>
    <phoneticPr fontId="5" type="noConversion"/>
  </si>
  <si>
    <t>RMII(신호선 7개)</t>
    <phoneticPr fontId="5" type="noConversion"/>
  </si>
  <si>
    <t>GMII(신호선 24개)</t>
    <phoneticPr fontId="5" type="noConversion"/>
  </si>
  <si>
    <t>MII Clock</t>
    <phoneticPr fontId="5" type="noConversion"/>
  </si>
  <si>
    <t>25MHz</t>
    <phoneticPr fontId="5" type="noConversion"/>
  </si>
  <si>
    <t>RMII Clock</t>
    <phoneticPr fontId="5" type="noConversion"/>
  </si>
  <si>
    <t>50MHz</t>
    <phoneticPr fontId="5" type="noConversion"/>
  </si>
  <si>
    <t>Phy</t>
    <phoneticPr fontId="5" type="noConversion"/>
  </si>
  <si>
    <t>드라이버 사용가능</t>
    <phoneticPr fontId="5" type="noConversion"/>
  </si>
  <si>
    <t>UART to USB Converter</t>
    <phoneticPr fontId="5" type="noConversion"/>
  </si>
  <si>
    <t>FT232, CH340C</t>
    <phoneticPr fontId="5" type="noConversion"/>
  </si>
  <si>
    <t>CAN Bus</t>
    <phoneticPr fontId="5" type="noConversion"/>
  </si>
  <si>
    <t>UART</t>
    <phoneticPr fontId="5" type="noConversion"/>
  </si>
  <si>
    <t>Analog To Digital Converter</t>
    <phoneticPr fontId="5" type="noConversion"/>
  </si>
  <si>
    <t>비트 수</t>
    <phoneticPr fontId="5" type="noConversion"/>
  </si>
  <si>
    <t>미정</t>
    <phoneticPr fontId="5" type="noConversion"/>
  </si>
  <si>
    <t>Reference Regulator</t>
    <phoneticPr fontId="5" type="noConversion"/>
  </si>
  <si>
    <t>Program Gain Amp</t>
    <phoneticPr fontId="5" type="noConversion"/>
  </si>
  <si>
    <t>Sampling Rate</t>
    <phoneticPr fontId="5" type="noConversion"/>
  </si>
  <si>
    <t>100SPS</t>
    <phoneticPr fontId="5" type="noConversion"/>
  </si>
  <si>
    <t>Data +, Data -</t>
    <phoneticPr fontId="5" type="noConversion"/>
  </si>
  <si>
    <t>0 ~ 10mV</t>
    <phoneticPr fontId="5" type="noConversion"/>
  </si>
  <si>
    <t>4-Wire Load Cell</t>
    <phoneticPr fontId="5" type="noConversion"/>
  </si>
  <si>
    <t>CM Voltage</t>
    <phoneticPr fontId="5" type="noConversion"/>
  </si>
  <si>
    <t>5V</t>
    <phoneticPr fontId="5" type="noConversion"/>
  </si>
  <si>
    <t>Sensor(5KG Load Cell)</t>
    <phoneticPr fontId="5" type="noConversion"/>
  </si>
  <si>
    <t>1mg/V</t>
    <phoneticPr fontId="5" type="noConversion"/>
  </si>
  <si>
    <t>총 5mg 측정가능</t>
    <phoneticPr fontId="5" type="noConversion"/>
  </si>
  <si>
    <t>인가전압</t>
    <phoneticPr fontId="5" type="noConversion"/>
  </si>
  <si>
    <t>스텝 수</t>
    <phoneticPr fontId="5" type="noConversion"/>
  </si>
  <si>
    <t>필요 ADC 비트</t>
    <phoneticPr fontId="5" type="noConversion"/>
  </si>
  <si>
    <t>20bit이상</t>
    <phoneticPr fontId="5" type="noConversion"/>
  </si>
  <si>
    <t>샘플링 비</t>
    <phoneticPr fontId="5" type="noConversion"/>
  </si>
  <si>
    <t>샘플링 필터</t>
    <phoneticPr fontId="5" type="noConversion"/>
  </si>
  <si>
    <t>채널수</t>
    <phoneticPr fontId="5" type="noConversion"/>
  </si>
  <si>
    <t>1개</t>
    <phoneticPr fontId="5" type="noConversion"/>
  </si>
  <si>
    <t>UART, I2C, SPI</t>
    <phoneticPr fontId="5" type="noConversion"/>
  </si>
  <si>
    <t>통신</t>
    <phoneticPr fontId="5" type="noConversion"/>
  </si>
  <si>
    <t>ESD, Noise rejection</t>
    <phoneticPr fontId="5" type="noConversion"/>
  </si>
  <si>
    <t>추가기능</t>
    <phoneticPr fontId="5" type="noConversion"/>
  </si>
  <si>
    <t>Noise Free Bits</t>
    <phoneticPr fontId="5" type="noConversion"/>
  </si>
  <si>
    <t>Effective Bits</t>
    <phoneticPr fontId="5" type="noConversion"/>
  </si>
  <si>
    <t>Voltage Level</t>
    <phoneticPr fontId="5" type="noConversion"/>
  </si>
  <si>
    <t>Motor Driver</t>
    <phoneticPr fontId="5" type="noConversion"/>
  </si>
  <si>
    <t>Bi-Directional</t>
    <phoneticPr fontId="5" type="noConversion"/>
  </si>
  <si>
    <t>PWM</t>
    <phoneticPr fontId="5" type="noConversion"/>
  </si>
  <si>
    <t>Motor Input Voltage</t>
    <phoneticPr fontId="5" type="noConversion"/>
  </si>
  <si>
    <t>12V</t>
    <phoneticPr fontId="5" type="noConversion"/>
  </si>
  <si>
    <t>Logic Level H Voltage</t>
    <phoneticPr fontId="5" type="noConversion"/>
  </si>
  <si>
    <t>3.3V</t>
    <phoneticPr fontId="5" type="noConversion"/>
  </si>
  <si>
    <t>Motor Type</t>
    <phoneticPr fontId="5" type="noConversion"/>
  </si>
  <si>
    <t>Brushed DC</t>
    <phoneticPr fontId="5" type="noConversion"/>
  </si>
  <si>
    <t>Power MOSFET</t>
    <phoneticPr fontId="5" type="noConversion"/>
  </si>
  <si>
    <t>규격</t>
    <phoneticPr fontId="5" type="noConversion"/>
  </si>
  <si>
    <t>GPIO 1, PWM 1</t>
    <phoneticPr fontId="5" type="noConversion"/>
  </si>
  <si>
    <t>OVC</t>
    <phoneticPr fontId="5" type="noConversion"/>
  </si>
  <si>
    <t>TR종류</t>
    <phoneticPr fontId="5" type="noConversion"/>
  </si>
  <si>
    <t>전류측정</t>
    <phoneticPr fontId="5" type="noConversion"/>
  </si>
  <si>
    <t>1 ADC</t>
    <phoneticPr fontId="5" type="noConversion"/>
  </si>
  <si>
    <t>가격</t>
    <phoneticPr fontId="5" type="noConversion"/>
  </si>
  <si>
    <t>보호 기능</t>
    <phoneticPr fontId="5" type="noConversion"/>
  </si>
  <si>
    <t>MOSFET</t>
    <phoneticPr fontId="5" type="noConversion"/>
  </si>
  <si>
    <t>Rds(on)</t>
    <phoneticPr fontId="5" type="noConversion"/>
  </si>
  <si>
    <t>작을수록 좋음</t>
    <phoneticPr fontId="5" type="noConversion"/>
  </si>
  <si>
    <t>Id</t>
    <phoneticPr fontId="5" type="noConversion"/>
  </si>
  <si>
    <t>3.5A 초과</t>
    <phoneticPr fontId="5" type="noConversion"/>
  </si>
  <si>
    <t>V(gs)</t>
    <phoneticPr fontId="5" type="noConversion"/>
  </si>
  <si>
    <t>9V 초과</t>
    <phoneticPr fontId="5" type="noConversion"/>
  </si>
  <si>
    <t>Ids(Off)</t>
    <phoneticPr fontId="5" type="noConversion"/>
  </si>
  <si>
    <t>최소</t>
    <phoneticPr fontId="5" type="noConversion"/>
  </si>
  <si>
    <t>Power Disspiation(Pd)</t>
    <phoneticPr fontId="5" type="noConversion"/>
  </si>
  <si>
    <t>I^2*Rds(on)</t>
    <phoneticPr fontId="5" type="noConversion"/>
  </si>
  <si>
    <t>Rth(JA)</t>
    <phoneticPr fontId="5" type="noConversion"/>
  </si>
  <si>
    <t>Total gate charge</t>
    <phoneticPr fontId="5" type="noConversion"/>
  </si>
  <si>
    <t>Switching Loads(inc) with total gate Charge</t>
    <phoneticPr fontId="5" type="noConversion"/>
  </si>
  <si>
    <t>no elements</t>
    <phoneticPr fontId="5" type="noConversion"/>
  </si>
  <si>
    <t>Debug Environment
(STM32F103)</t>
    <phoneticPr fontId="5" type="noConversion"/>
  </si>
  <si>
    <t>무관</t>
    <phoneticPr fontId="5" type="noConversion"/>
  </si>
  <si>
    <t>최소 1개 가능</t>
    <phoneticPr fontId="5" type="noConversion"/>
  </si>
  <si>
    <t>MCU
(STM32F407Vx,Zx,Ix 3종 중 하나)</t>
    <phoneticPr fontId="5" type="noConversion"/>
  </si>
  <si>
    <t>가변(Package 및 MCU 따라 변경)</t>
    <phoneticPr fontId="5" type="noConversion"/>
  </si>
  <si>
    <t>512KB/1024KB</t>
    <phoneticPr fontId="5" type="noConversion"/>
  </si>
  <si>
    <t>System : 192KB
Backup : 4KB</t>
    <phoneticPr fontId="5" type="noConversion"/>
  </si>
  <si>
    <t>최대 4V(VDD)</t>
    <phoneticPr fontId="5" type="noConversion"/>
  </si>
  <si>
    <t>최대 168MHz</t>
    <phoneticPr fontId="5" type="noConversion"/>
  </si>
  <si>
    <t>-</t>
    <phoneticPr fontId="5" type="noConversion"/>
  </si>
  <si>
    <t>개발 사양서 조건표</t>
    <phoneticPr fontId="5" type="noConversion"/>
  </si>
  <si>
    <t>코드 용량에 따라 다름</t>
    <phoneticPr fontId="5" type="noConversion"/>
  </si>
  <si>
    <t>처리에 따라 다름</t>
    <phoneticPr fontId="5" type="noConversion"/>
  </si>
  <si>
    <t>가능</t>
    <phoneticPr fontId="5" type="noConversion"/>
  </si>
  <si>
    <t>32bit Bus Line</t>
    <phoneticPr fontId="5" type="noConversion"/>
  </si>
  <si>
    <t>Bit 수</t>
    <phoneticPr fontId="5" type="noConversion"/>
  </si>
  <si>
    <t>32Bit</t>
    <phoneticPr fontId="5" type="noConversion"/>
  </si>
  <si>
    <t>168MHz 이하여야함</t>
    <phoneticPr fontId="5" type="noConversion"/>
  </si>
  <si>
    <t>기본 3.3V 진행</t>
    <phoneticPr fontId="5" type="noConversion"/>
  </si>
  <si>
    <t>DAC</t>
    <phoneticPr fontId="5" type="noConversion"/>
  </si>
  <si>
    <t>64x Fs</t>
    <phoneticPr fontId="5" type="noConversion"/>
  </si>
  <si>
    <t>요구 채널 수</t>
    <phoneticPr fontId="5" type="noConversion"/>
  </si>
  <si>
    <t>1채널</t>
    <phoneticPr fontId="5" type="noConversion"/>
  </si>
  <si>
    <t>통신방식</t>
    <phoneticPr fontId="5" type="noConversion"/>
  </si>
  <si>
    <t>I2S</t>
    <phoneticPr fontId="5" type="noConversion"/>
  </si>
  <si>
    <t>분해능</t>
    <phoneticPr fontId="5" type="noConversion"/>
  </si>
  <si>
    <t>아날로그 출력 수</t>
    <phoneticPr fontId="5" type="noConversion"/>
  </si>
  <si>
    <t>전압</t>
    <phoneticPr fontId="5" type="noConversion"/>
  </si>
  <si>
    <t>3.3Volt</t>
    <phoneticPr fontId="5" type="noConversion"/>
  </si>
  <si>
    <t>마이크</t>
    <phoneticPr fontId="5" type="noConversion"/>
  </si>
  <si>
    <t>monotocity</t>
    <phoneticPr fontId="5" type="noConversion"/>
  </si>
  <si>
    <t>오디오 범위(dB)</t>
    <phoneticPr fontId="5" type="noConversion"/>
  </si>
  <si>
    <t>High minus low Audio</t>
    <phoneticPr fontId="5" type="noConversion"/>
  </si>
  <si>
    <t>선정 부품</t>
    <phoneticPr fontId="5" type="noConversion"/>
  </si>
  <si>
    <t>STM32F407VGT6</t>
    <phoneticPr fontId="5" type="noConversion"/>
  </si>
  <si>
    <t>Progammer/Debugger</t>
    <phoneticPr fontId="5" type="noConversion"/>
  </si>
  <si>
    <t>모델명</t>
    <phoneticPr fontId="5" type="noConversion"/>
  </si>
  <si>
    <t>STMicroelectronics</t>
    <phoneticPr fontId="5" type="noConversion"/>
  </si>
  <si>
    <t>UART to USB 2.0</t>
    <phoneticPr fontId="5" type="noConversion"/>
  </si>
  <si>
    <t>CH340C</t>
    <phoneticPr fontId="5" type="noConversion"/>
  </si>
  <si>
    <t>ADC (Load Cell용)</t>
    <phoneticPr fontId="5" type="noConversion"/>
  </si>
  <si>
    <t>ADS122C04IPW</t>
    <phoneticPr fontId="5" type="noConversion"/>
  </si>
  <si>
    <t>DMHT6016LFJ</t>
    <phoneticPr fontId="5" type="noConversion"/>
  </si>
  <si>
    <t>사양서는 2MB/s
bit로 환산 시 16Mb/s
MII에 만족함</t>
    <phoneticPr fontId="5" type="noConversion"/>
  </si>
  <si>
    <t>MII로 선정 가능</t>
    <phoneticPr fontId="5" type="noConversion"/>
  </si>
  <si>
    <t>5Kg Load Cell 감도</t>
    <phoneticPr fontId="5" type="noConversion"/>
  </si>
  <si>
    <t>ADC</t>
    <phoneticPr fontId="5" type="noConversion"/>
  </si>
  <si>
    <t>0-100%</t>
    <phoneticPr fontId="5" type="noConversion"/>
  </si>
  <si>
    <t>최소 Q로(Gate Open Delay 최소화)</t>
    <phoneticPr fontId="5" type="noConversion"/>
  </si>
  <si>
    <t>최소 온도(발열로 인한 손상 최소화)</t>
    <phoneticPr fontId="5" type="noConversion"/>
  </si>
  <si>
    <t>Bi-Directional Modor(H type)</t>
    <phoneticPr fontId="5" type="noConversion"/>
  </si>
  <si>
    <t>Texas Instruments</t>
    <phoneticPr fontId="5" type="noConversion"/>
  </si>
  <si>
    <t>패키지</t>
    <phoneticPr fontId="5" type="noConversion"/>
  </si>
  <si>
    <t>LQFP100</t>
    <phoneticPr fontId="5" type="noConversion"/>
  </si>
  <si>
    <t>Cortex-M4, FLASH 1MB, 12bit ADC, SRAM 192KB</t>
    <phoneticPr fontId="5" type="noConversion"/>
  </si>
  <si>
    <t>LQFP48</t>
    <phoneticPr fontId="5" type="noConversion"/>
  </si>
  <si>
    <t>Cortex-M3, FLASH 128KB, 12bit ADC, SRAM 20KB</t>
    <phoneticPr fontId="5" type="noConversion"/>
  </si>
  <si>
    <t>QFN-32</t>
    <phoneticPr fontId="5" type="noConversion"/>
  </si>
  <si>
    <t>PHY MII,RMII</t>
    <phoneticPr fontId="5" type="noConversion"/>
  </si>
  <si>
    <t>WCH(China)</t>
    <phoneticPr fontId="5" type="noConversion"/>
  </si>
  <si>
    <t>SOP-16</t>
    <phoneticPr fontId="5" type="noConversion"/>
  </si>
  <si>
    <t>USB to Serial</t>
    <phoneticPr fontId="5" type="noConversion"/>
  </si>
  <si>
    <t>24bit ADC, PGA, Reference, 4-ch(Single), 2-ch(Diff)</t>
    <phoneticPr fontId="5" type="noConversion"/>
  </si>
  <si>
    <t>Description</t>
    <phoneticPr fontId="5" type="noConversion"/>
  </si>
  <si>
    <t>TSSOP</t>
    <phoneticPr fontId="5" type="noConversion"/>
  </si>
  <si>
    <t>PH/EN Control, H-bridge Motor control</t>
    <phoneticPr fontId="5" type="noConversion"/>
  </si>
  <si>
    <t>VQFN-24</t>
    <phoneticPr fontId="5" type="noConversion"/>
  </si>
  <si>
    <t>Diodes</t>
    <phoneticPr fontId="5" type="noConversion"/>
  </si>
  <si>
    <t>RLC</t>
    <phoneticPr fontId="5" type="noConversion"/>
  </si>
  <si>
    <t>Any</t>
    <phoneticPr fontId="5" type="noConversion"/>
  </si>
  <si>
    <t>V-DFN5045-12</t>
    <phoneticPr fontId="5" type="noConversion"/>
  </si>
  <si>
    <t>60V N-CHANNEL ENHANCEMENT MODE MOSFET H-BRIDGE</t>
    <phoneticPr fontId="5" type="noConversion"/>
  </si>
  <si>
    <t>MCU 가능</t>
    <phoneticPr fontId="5" type="noConversion"/>
  </si>
  <si>
    <t>부품 추가</t>
    <phoneticPr fontId="5" type="noConversion"/>
  </si>
  <si>
    <t>MCU 12 bit
부품 추가</t>
    <phoneticPr fontId="5" type="noConversion"/>
  </si>
  <si>
    <t>MCU 12bit 불가
differential
부품 추가</t>
    <phoneticPr fontId="5" type="noConversion"/>
  </si>
  <si>
    <t>1개 -&gt; 헤드폰, 스피커</t>
    <phoneticPr fontId="5" type="noConversion"/>
  </si>
  <si>
    <t>1개 -&gt; 헤드폰</t>
    <phoneticPr fontId="5" type="noConversion"/>
  </si>
  <si>
    <t>R,L,C 종류별 사용</t>
    <phoneticPr fontId="5" type="noConversion"/>
  </si>
  <si>
    <t>특수 부품</t>
    <phoneticPr fontId="5" type="noConversion"/>
  </si>
  <si>
    <t>Ferrite Bead, OSC 등</t>
    <phoneticPr fontId="5" type="noConversion"/>
  </si>
  <si>
    <t>종류별로 사용</t>
    <phoneticPr fontId="5" type="noConversion"/>
  </si>
  <si>
    <t>CIRRUS LOGIC</t>
    <phoneticPr fontId="5" type="noConversion"/>
  </si>
  <si>
    <t>Low Power, Stereo DAC(headphone, Speaker amps)</t>
    <phoneticPr fontId="5" type="noConversion"/>
  </si>
  <si>
    <t>QFN-40L</t>
    <phoneticPr fontId="5" type="noConversion"/>
  </si>
  <si>
    <t>STM32F103 Debugger 참조 사항</t>
    <phoneticPr fontId="5" type="noConversion"/>
  </si>
  <si>
    <t>Page 11</t>
    <phoneticPr fontId="5" type="noConversion"/>
  </si>
  <si>
    <t>블록 다이어그램</t>
    <phoneticPr fontId="5" type="noConversion"/>
  </si>
  <si>
    <t>Page 15</t>
    <phoneticPr fontId="5" type="noConversion"/>
  </si>
  <si>
    <t>Boot Modes - 3 State</t>
    <phoneticPr fontId="5" type="noConversion"/>
  </si>
  <si>
    <t>JTAG/SWD 블록 확인</t>
    <phoneticPr fontId="5" type="noConversion"/>
  </si>
  <si>
    <t>STM32F103
Datasheet</t>
    <phoneticPr fontId="5" type="noConversion"/>
  </si>
  <si>
    <t>참조</t>
    <phoneticPr fontId="5" type="noConversion"/>
  </si>
  <si>
    <t>Page</t>
    <phoneticPr fontId="5" type="noConversion"/>
  </si>
  <si>
    <t>AN2606 - Chapter 18 참조(부트모드) - 19는 105 Reference Manual도 참고할것</t>
    <phoneticPr fontId="5" type="noConversion"/>
  </si>
  <si>
    <t>Page 26</t>
    <phoneticPr fontId="5" type="noConversion"/>
  </si>
  <si>
    <t>LQFP 48 PinOut</t>
    <phoneticPr fontId="5" type="noConversion"/>
  </si>
  <si>
    <t>각 핀의 명칭 포함되어있음</t>
    <phoneticPr fontId="5" type="noConversion"/>
  </si>
  <si>
    <t>Page 28-33</t>
    <phoneticPr fontId="5" type="noConversion"/>
  </si>
  <si>
    <t>103 Pin Definition</t>
    <phoneticPr fontId="5" type="noConversion"/>
  </si>
  <si>
    <t>각 핀 Deafault/Altenative 포함</t>
    <phoneticPr fontId="5" type="noConversion"/>
  </si>
  <si>
    <t xml:space="preserve">Load Cap, VDD </t>
    <phoneticPr fontId="5" type="noConversion"/>
  </si>
  <si>
    <t>Page 35</t>
    <phoneticPr fontId="5" type="noConversion"/>
  </si>
  <si>
    <t>기본 3.3V 테스트/ 테스트 방법</t>
    <phoneticPr fontId="5" type="noConversion"/>
  </si>
  <si>
    <t>Power 구조</t>
    <phoneticPr fontId="5" type="noConversion"/>
  </si>
  <si>
    <t>Voltage만 나오지만 블록 다이어그램 있음</t>
    <phoneticPr fontId="5" type="noConversion"/>
  </si>
  <si>
    <t>Absolute maximum ratings</t>
    <phoneticPr fontId="5" type="noConversion"/>
  </si>
  <si>
    <t>절대 기준, Operating Condition으로 볼 것</t>
    <phoneticPr fontId="5" type="noConversion"/>
  </si>
  <si>
    <t xml:space="preserve">Page 51-56 </t>
    <phoneticPr fontId="5" type="noConversion"/>
  </si>
  <si>
    <t>Page 37</t>
    <phoneticPr fontId="5" type="noConversion"/>
  </si>
  <si>
    <t>Page 36</t>
    <phoneticPr fontId="5" type="noConversion"/>
  </si>
  <si>
    <t>내부 클럭/외부 클럭 설명</t>
    <phoneticPr fontId="5" type="noConversion"/>
  </si>
  <si>
    <t>내용</t>
    <phoneticPr fontId="5" type="noConversion"/>
  </si>
  <si>
    <t>전체적인 내부 구조 설명</t>
    <phoneticPr fontId="5" type="noConversion"/>
  </si>
  <si>
    <t>Boot 모드 설명</t>
    <phoneticPr fontId="5" type="noConversion"/>
  </si>
  <si>
    <t>Pin Out 설명</t>
    <phoneticPr fontId="5" type="noConversion"/>
  </si>
  <si>
    <t>Pin Description</t>
    <phoneticPr fontId="5" type="noConversion"/>
  </si>
  <si>
    <t>Load Cap(for OSC), VDD 구조</t>
    <phoneticPr fontId="5" type="noConversion"/>
  </si>
  <si>
    <t>(A)VDD,(A)VSS,Vref 설명</t>
    <phoneticPr fontId="5" type="noConversion"/>
  </si>
  <si>
    <t>절대기준(V,I 등)</t>
    <phoneticPr fontId="5" type="noConversion"/>
  </si>
  <si>
    <t>External 8MHz 사용 할 예정</t>
    <phoneticPr fontId="5" type="noConversion"/>
  </si>
  <si>
    <t>Page 59</t>
    <phoneticPr fontId="5" type="noConversion"/>
  </si>
  <si>
    <t>ESD(정전기)</t>
    <phoneticPr fontId="5" type="noConversion"/>
  </si>
  <si>
    <t>저항 가능한 정전기</t>
    <phoneticPr fontId="5" type="noConversion"/>
  </si>
  <si>
    <t>인체/충전기모듈 기준 설명</t>
    <phoneticPr fontId="5" type="noConversion"/>
  </si>
  <si>
    <t>Page 66</t>
    <phoneticPr fontId="5" type="noConversion"/>
  </si>
  <si>
    <t>NRST Pin</t>
    <phoneticPr fontId="5" type="noConversion"/>
  </si>
  <si>
    <t>RESET(Active Low)</t>
    <phoneticPr fontId="5" type="noConversion"/>
  </si>
  <si>
    <t>테스트 리셋 불필요 시 스위치 불필요</t>
    <phoneticPr fontId="5" type="noConversion"/>
  </si>
  <si>
    <t>Page 69</t>
    <phoneticPr fontId="5" type="noConversion"/>
  </si>
  <si>
    <t>I2C 사용 주의 사항</t>
    <phoneticPr fontId="5" type="noConversion"/>
  </si>
  <si>
    <t>Should place Pull-up</t>
    <phoneticPr fontId="5" type="noConversion"/>
  </si>
  <si>
    <t>풀업 저항 + 직렬 저항(노이즈 떄문인듯)</t>
    <phoneticPr fontId="5" type="noConversion"/>
  </si>
  <si>
    <t>Page 77</t>
    <phoneticPr fontId="5" type="noConversion"/>
  </si>
  <si>
    <t>General PCB Design</t>
    <phoneticPr fontId="5" type="noConversion"/>
  </si>
  <si>
    <t>가이드라인 제시</t>
    <phoneticPr fontId="5" type="noConversion"/>
  </si>
  <si>
    <t>누설전류</t>
    <phoneticPr fontId="5" type="noConversion"/>
  </si>
  <si>
    <t>동작전압</t>
    <phoneticPr fontId="5" type="noConversion"/>
  </si>
  <si>
    <t>Break down 전압</t>
    <phoneticPr fontId="5" type="noConversion"/>
  </si>
  <si>
    <t>클램핑 전압</t>
    <phoneticPr fontId="5" type="noConversion"/>
  </si>
  <si>
    <t>기생 커패시턴스</t>
    <phoneticPr fontId="5" type="noConversion"/>
  </si>
  <si>
    <t>3.3V보다 클 때</t>
    <phoneticPr fontId="5" type="noConversion"/>
  </si>
  <si>
    <t>용량성 리액턴스(Xc)</t>
    <phoneticPr fontId="5" type="noConversion"/>
  </si>
  <si>
    <t>1/(2*pi*C)</t>
    <phoneticPr fontId="5" type="noConversion"/>
  </si>
  <si>
    <t>동작전압에 가까울 수록 좋음</t>
    <phoneticPr fontId="5" type="noConversion"/>
  </si>
  <si>
    <t>ESD Diode/Ferrite Bead 선정</t>
    <phoneticPr fontId="5" type="noConversion"/>
  </si>
  <si>
    <t>적을수록 좋음</t>
    <phoneticPr fontId="5" type="noConversion"/>
  </si>
  <si>
    <t>속성</t>
    <phoneticPr fontId="5" type="noConversion"/>
  </si>
  <si>
    <t>요구사항</t>
    <phoneticPr fontId="5" type="noConversion"/>
  </si>
  <si>
    <t>선택 부품</t>
    <phoneticPr fontId="5" type="noConversion"/>
  </si>
  <si>
    <t>ESD3V3D9</t>
    <phoneticPr fontId="5" type="noConversion"/>
  </si>
  <si>
    <t>전력 소모량에 영향</t>
    <phoneticPr fontId="5" type="noConversion"/>
  </si>
  <si>
    <t>MCU 공급 전압에 따름</t>
    <phoneticPr fontId="5" type="noConversion"/>
  </si>
  <si>
    <t>3.3V보다 클 때와 반응속도가 빨라야함</t>
    <phoneticPr fontId="5" type="noConversion"/>
  </si>
  <si>
    <t>MCU공급 전압이 3.3V이므로</t>
    <phoneticPr fontId="5" type="noConversion"/>
  </si>
  <si>
    <t>고주파에서 GND로 가며, 신호 감쇠 영향</t>
    <phoneticPr fontId="5" type="noConversion"/>
  </si>
  <si>
    <t>방향성</t>
    <phoneticPr fontId="5" type="noConversion"/>
  </si>
  <si>
    <t>단방향</t>
    <phoneticPr fontId="5" type="noConversion"/>
  </si>
  <si>
    <t>0~3.3V이므로</t>
    <phoneticPr fontId="5" type="noConversion"/>
  </si>
  <si>
    <t>G8X-188S7-BP</t>
    <phoneticPr fontId="5" type="noConversion"/>
  </si>
  <si>
    <t>RJ45 Magnetic</t>
    <phoneticPr fontId="5" type="noConversion"/>
  </si>
  <si>
    <t>절연상태(내부 Trans 사용)</t>
    <phoneticPr fontId="5" type="noConversion"/>
  </si>
  <si>
    <t>100Mbps 가능</t>
    <phoneticPr fontId="5" type="noConversion"/>
  </si>
  <si>
    <t>요구사항 2MByte/s</t>
    <phoneticPr fontId="5" type="noConversion"/>
  </si>
  <si>
    <t>Clamping 전압은
MCU의 Absoulte maximum voltage 보다
낮은게 좋긴 하다</t>
    <phoneticPr fontId="5" type="noConversion"/>
  </si>
  <si>
    <t>MPZ1608B471ATA00</t>
    <phoneticPr fontId="5" type="noConversion"/>
  </si>
  <si>
    <t>Rdc</t>
    <phoneticPr fontId="5" type="noConversion"/>
  </si>
  <si>
    <t>높을수록 좋음</t>
    <phoneticPr fontId="5" type="noConversion"/>
  </si>
  <si>
    <t>원하는 주파수에서의 임피던스 확인 필</t>
    <phoneticPr fontId="5" type="noConversion"/>
  </si>
  <si>
    <t>동작 전류보다 낮으면 발열/소손 예상</t>
    <phoneticPr fontId="5" type="noConversion"/>
  </si>
  <si>
    <t>요구 주파수 내</t>
    <phoneticPr fontId="5" type="noConversion"/>
  </si>
  <si>
    <t>비드는 노이즈를 확인하고
특정 주파수 라인 제거를 목적
(Knee Freq 확인 필)</t>
    <phoneticPr fontId="5" type="noConversion"/>
  </si>
  <si>
    <t>낮을수록 좋음</t>
    <phoneticPr fontId="5" type="noConversion"/>
  </si>
  <si>
    <t>높으면 전압 강하를 일으킴</t>
    <phoneticPr fontId="5" type="noConversion"/>
  </si>
  <si>
    <t>원하는 주파수 내에서만 높아야함</t>
    <phoneticPr fontId="5" type="noConversion"/>
  </si>
  <si>
    <t>Ethernet PHY TX+, TX-, RX+, RX- 라인당 전류</t>
    <phoneticPr fontId="5" type="noConversion"/>
  </si>
  <si>
    <t>JTAG과 SWD는
선택사항</t>
    <phoneticPr fontId="5" type="noConversion"/>
  </si>
  <si>
    <t>Programming / debugging</t>
    <phoneticPr fontId="5" type="noConversion"/>
  </si>
  <si>
    <t>SWD -&gt; 프로그램, 디버깅, ARM 아키텍쳐, printf 가능
JTAG -&gt; Test, 독립적, 별도의 아키텍쳐 없음</t>
    <phoneticPr fontId="5" type="noConversion"/>
  </si>
  <si>
    <t>STM32F103CBT6</t>
    <phoneticPr fontId="5" type="noConversion"/>
  </si>
  <si>
    <t>DP83826IRHBR</t>
    <phoneticPr fontId="5" type="noConversion"/>
  </si>
  <si>
    <t>CS43L22</t>
    <phoneticPr fontId="5" type="noConversion"/>
  </si>
  <si>
    <t>DRV8701ERGET</t>
    <phoneticPr fontId="5" type="noConversion"/>
  </si>
  <si>
    <t>최소 커패시터 용량</t>
    <phoneticPr fontId="5" type="noConversion"/>
  </si>
  <si>
    <t>모터 드라이버 IC 설계 사항</t>
    <phoneticPr fontId="5" type="noConversion"/>
  </si>
  <si>
    <t>명칭</t>
    <phoneticPr fontId="5" type="noConversion"/>
  </si>
  <si>
    <t>단위</t>
    <phoneticPr fontId="5" type="noConversion"/>
  </si>
  <si>
    <t>결과</t>
    <phoneticPr fontId="5" type="noConversion"/>
  </si>
  <si>
    <t>ICHOP</t>
    <phoneticPr fontId="5" type="noConversion"/>
  </si>
  <si>
    <t>설명</t>
    <phoneticPr fontId="5" type="noConversion"/>
  </si>
  <si>
    <t>Unknown</t>
    <phoneticPr fontId="5" type="noConversion"/>
  </si>
  <si>
    <t>3A</t>
    <phoneticPr fontId="5" type="noConversion"/>
  </si>
  <si>
    <t>50mV</t>
    <phoneticPr fontId="5" type="noConversion"/>
  </si>
  <si>
    <t>VOFF시 Typical 전압</t>
    <phoneticPr fontId="5" type="noConversion"/>
  </si>
  <si>
    <t>4.8V</t>
    <phoneticPr fontId="5" type="noConversion"/>
  </si>
  <si>
    <t>Chopping 위한 Vref 레벨
8.2.1.2.3 참고하여 계산</t>
    <phoneticPr fontId="5" type="noConversion"/>
  </si>
  <si>
    <t>내부 레귤레이터
6.3V 1uF 세라믹 권장</t>
    <phoneticPr fontId="5" type="noConversion"/>
  </si>
  <si>
    <t>Gain(Av)</t>
    <phoneticPr fontId="5" type="noConversion"/>
  </si>
  <si>
    <t>ICHOP위한 내부 증폭값(Rsense)</t>
    <phoneticPr fontId="5" type="noConversion"/>
  </si>
  <si>
    <t>20V/V</t>
    <phoneticPr fontId="5" type="noConversion"/>
  </si>
  <si>
    <t>지정된 전류값 초과시 정지한다
Vref 필수 - AVDD에서 분압</t>
    <phoneticPr fontId="5" type="noConversion"/>
  </si>
  <si>
    <t>Vout(Vref 값)</t>
    <phoneticPr fontId="5" type="noConversion"/>
  </si>
  <si>
    <t>1.8/3.3</t>
    <phoneticPr fontId="5" type="noConversion"/>
  </si>
  <si>
    <t>전류(고정)</t>
    <phoneticPr fontId="5" type="noConversion"/>
  </si>
  <si>
    <t>Voff(고정)</t>
    <phoneticPr fontId="5" type="noConversion"/>
  </si>
  <si>
    <t>Av(고정)</t>
    <phoneticPr fontId="5" type="noConversion"/>
  </si>
  <si>
    <t>Rsense</t>
    <phoneticPr fontId="5" type="noConversion"/>
  </si>
  <si>
    <t>SO(Volt)</t>
    <phoneticPr fontId="5" type="noConversion"/>
  </si>
  <si>
    <t>BULK CAPS 선정</t>
    <phoneticPr fontId="5" type="noConversion"/>
  </si>
  <si>
    <t>최종 리플(Delta)</t>
    <phoneticPr fontId="5" type="noConversion"/>
  </si>
  <si>
    <t>출력 리플(delv)/민웰</t>
    <phoneticPr fontId="5" type="noConversion"/>
  </si>
  <si>
    <t>효율(eff)/민웰</t>
    <phoneticPr fontId="5" type="noConversion"/>
  </si>
  <si>
    <t>스위칭 주파수(fsw)/민웰</t>
    <phoneticPr fontId="5" type="noConversion"/>
  </si>
  <si>
    <t>I0/요구 전류</t>
    <phoneticPr fontId="5" type="noConversion"/>
  </si>
  <si>
    <t>0.12(peak to peak)</t>
    <phoneticPr fontId="5" type="noConversion"/>
  </si>
  <si>
    <t>MEANWELL RS-100-12 기준</t>
    <phoneticPr fontId="5" type="noConversion"/>
  </si>
  <si>
    <t>Vo*100/VIN*eff</t>
    <phoneticPr fontId="5" type="noConversion"/>
  </si>
  <si>
    <t>최대 스위치(Delta)</t>
    <phoneticPr fontId="5" type="noConversion"/>
  </si>
  <si>
    <t>1-((Vin-효율)/Vout)</t>
    <phoneticPr fontId="5" type="noConversion"/>
  </si>
  <si>
    <t xml:space="preserve">DAC </t>
    <phoneticPr fontId="5" type="noConversion"/>
  </si>
  <si>
    <t>IMP34DT05</t>
    <phoneticPr fontId="5" type="noConversion"/>
  </si>
  <si>
    <t>HCLGA 4LD</t>
    <phoneticPr fontId="5" type="noConversion"/>
  </si>
  <si>
    <t>MEMS audio sensor omnidirectional digital microphone</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</si>
</sst>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0">
    <font>
      <sz val="11"/>
      <color theme="1"/>
      <name val="맑은 고딕"/>
      <family val="2"/>
      <scheme val="minor"/>
    </font>
    <font>
      <sz val="18"/>
      <color theme="1"/>
      <name val="맑은 고딕"/>
      <family val="2"/>
      <scheme val="minor"/>
    </font>
    <font>
      <sz val="10"/>
      <name val="Arial"/>
      <family val="2"/>
    </font>
    <font>
      <b/>
      <sz val="16"/>
      <color theme="1"/>
      <name val="맑은 고딕"/>
      <family val="2"/>
      <scheme val="minor"/>
    </font>
    <font>
      <b/>
      <sz val="11"/>
      <color theme="1"/>
      <name val="맑은 고딕"/>
      <family val="2"/>
      <scheme val="minor"/>
    </font>
    <font>
      <sz val="8"/>
      <name val="맑은 고딕"/>
      <family val="3"/>
      <charset val="129"/>
      <scheme val="minor"/>
    </font>
    <font>
      <u/>
      <sz val="11"/>
      <color theme="10"/>
      <name val="맑은 고딕"/>
      <family val="2"/>
      <scheme val="minor"/>
    </font>
    <font>
      <sz val="11"/>
      <name val="맑은 고딕"/>
      <family val="3"/>
      <charset val="129"/>
    </font>
    <font>
      <sz val="11"/>
      <color rgb="FFFF0000"/>
      <name val="맑은 고딕"/>
      <family val="2"/>
      <scheme val="minor"/>
    </font>
    <font>
      <sz val="11"/>
      <color rgb="FFFF0000"/>
      <name val="맑은 고딕"/>
      <family val="3"/>
      <charset val="129"/>
      <scheme val="minor"/>
    </font>
  </fonts>
  <fills count="4">
    <fill>
      <patternFill patternType="none"/>
    </fill>
    <fill>
      <patternFill patternType="gray125"/>
    </fill>
    <fill>
      <patternFill patternType="solid">
        <fgColor theme="2" tint="-9.9978637043366805E-2"/>
        <bgColor indexed="64"/>
      </patternFill>
    </fill>
    <fill>
      <patternFill patternType="solid">
        <fgColor theme="4"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diagonal/>
    </border>
    <border>
      <left style="thin">
        <color auto="1"/>
      </left>
      <right/>
      <top/>
      <bottom/>
      <diagonal/>
    </border>
    <border>
      <left/>
      <right style="medium">
        <color auto="1"/>
      </right>
      <top/>
      <bottom/>
      <diagonal/>
    </border>
    <border>
      <left style="thin">
        <color auto="1"/>
      </left>
      <right/>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thin">
        <color auto="1"/>
      </left>
      <right style="thin">
        <color auto="1"/>
      </right>
      <top/>
      <bottom style="medium">
        <color auto="1"/>
      </bottom>
      <diagonal/>
    </border>
  </borders>
  <cellStyleXfs count="2">
    <xf numFmtId="0" fontId="0" fillId="0" borderId="0"/>
    <xf numFmtId="0" fontId="6" fillId="0" borderId="0" applyNumberFormat="0" applyFill="0" applyBorder="0" applyAlignment="0" applyProtection="0"/>
  </cellStyleXfs>
  <cellXfs count="85">
    <xf numFmtId="0" fontId="0" fillId="0" borderId="0" xfId="0"/>
    <xf numFmtId="0" fontId="0" fillId="0" borderId="1" xfId="0" applyBorder="1"/>
    <xf numFmtId="0" fontId="0" fillId="0" borderId="0" xfId="0" applyAlignment="1">
      <alignment wrapText="1"/>
    </xf>
    <xf numFmtId="0" fontId="0" fillId="0" borderId="0" xfId="0" applyAlignment="1">
      <alignment horizontal="left" wrapText="1"/>
    </xf>
    <xf numFmtId="0" fontId="3" fillId="3" borderId="2" xfId="0" applyFont="1" applyFill="1" applyBorder="1"/>
    <xf numFmtId="0" fontId="1" fillId="2" borderId="3" xfId="0" applyFont="1" applyFill="1" applyBorder="1" applyAlignment="1">
      <alignment horizontal="center"/>
    </xf>
    <xf numFmtId="0" fontId="0" fillId="0" borderId="4" xfId="0" applyBorder="1"/>
    <xf numFmtId="0" fontId="0" fillId="0" borderId="4" xfId="0" applyBorder="1" applyAlignment="1">
      <alignment wrapText="1"/>
    </xf>
    <xf numFmtId="0" fontId="0" fillId="0" borderId="5" xfId="0" applyBorder="1"/>
    <xf numFmtId="0" fontId="0" fillId="0" borderId="6" xfId="0" applyBorder="1" applyAlignment="1">
      <alignment horizontal="left" wrapText="1"/>
    </xf>
    <xf numFmtId="0" fontId="1" fillId="2" borderId="7" xfId="0" applyFont="1" applyFill="1" applyBorder="1" applyAlignment="1">
      <alignment horizontal="center" wrapText="1"/>
    </xf>
    <xf numFmtId="0" fontId="2" fillId="0" borderId="6" xfId="0" applyFont="1" applyBorder="1"/>
    <xf numFmtId="0" fontId="0" fillId="0" borderId="8" xfId="0" applyBorder="1" applyAlignment="1">
      <alignment horizontal="left" wrapText="1"/>
    </xf>
    <xf numFmtId="0" fontId="0" fillId="0" borderId="3" xfId="0" applyBorder="1"/>
    <xf numFmtId="0" fontId="0" fillId="0" borderId="0" xfId="0" applyAlignment="1">
      <alignment horizontal="left"/>
    </xf>
    <xf numFmtId="0" fontId="4" fillId="0" borderId="1" xfId="0" applyFont="1"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xf>
    <xf numFmtId="0" fontId="0" fillId="0" borderId="10" xfId="0" applyBorder="1" applyAlignment="1">
      <alignment vertical="center"/>
    </xf>
    <xf numFmtId="0" fontId="0" fillId="0" borderId="10"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vertical="center"/>
    </xf>
    <xf numFmtId="0" fontId="0" fillId="0" borderId="15" xfId="0" applyBorder="1" applyAlignment="1">
      <alignment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vertical="center"/>
    </xf>
    <xf numFmtId="0" fontId="0" fillId="0" borderId="10" xfId="0" applyBorder="1" applyAlignment="1">
      <alignment horizontal="left" vertical="center"/>
    </xf>
    <xf numFmtId="0" fontId="0" fillId="0" borderId="1" xfId="0" applyBorder="1" applyAlignment="1">
      <alignment horizontal="left" vertical="center" wrapText="1"/>
    </xf>
    <xf numFmtId="0" fontId="0" fillId="0" borderId="15" xfId="0" applyBorder="1" applyAlignment="1">
      <alignment horizontal="left" vertical="center"/>
    </xf>
    <xf numFmtId="0" fontId="0" fillId="0" borderId="18" xfId="0" applyBorder="1" applyAlignment="1">
      <alignment horizontal="left" vertical="center"/>
    </xf>
    <xf numFmtId="0" fontId="7" fillId="0" borderId="0" xfId="0" applyFont="1" applyAlignment="1">
      <alignment horizontal="center" vertical="center"/>
    </xf>
    <xf numFmtId="0" fontId="0" fillId="0" borderId="0" xfId="0" applyAlignment="1">
      <alignment horizontal="left" vertical="center"/>
    </xf>
    <xf numFmtId="0" fontId="8" fillId="0" borderId="0" xfId="0" applyFont="1"/>
    <xf numFmtId="0" fontId="9" fillId="0" borderId="0" xfId="0" applyFont="1"/>
    <xf numFmtId="0" fontId="0" fillId="0" borderId="0" xfId="0" quotePrefix="1"/>
    <xf numFmtId="176" fontId="0" fillId="0" borderId="0" xfId="0" applyNumberFormat="1"/>
    <xf numFmtId="0" fontId="0" fillId="0" borderId="9"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vertical="center"/>
    </xf>
    <xf numFmtId="0" fontId="0" fillId="0" borderId="7"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8"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left" vertical="center" wrapText="1"/>
    </xf>
    <xf numFmtId="0" fontId="0" fillId="0" borderId="1" xfId="0" applyBorder="1" applyAlignment="1">
      <alignment horizontal="left" vertical="center"/>
    </xf>
    <xf numFmtId="0" fontId="0" fillId="0" borderId="15" xfId="0" applyBorder="1" applyAlignment="1">
      <alignment horizontal="left" vertical="center"/>
    </xf>
    <xf numFmtId="0" fontId="6" fillId="0" borderId="10" xfId="1" applyBorder="1" applyAlignment="1">
      <alignment horizontal="center" vertical="center"/>
    </xf>
    <xf numFmtId="0" fontId="6" fillId="0" borderId="11" xfId="1" applyBorder="1" applyAlignment="1">
      <alignment horizontal="center" vertical="center"/>
    </xf>
    <xf numFmtId="0" fontId="6" fillId="0" borderId="1" xfId="1" applyBorder="1" applyAlignment="1">
      <alignment horizontal="center" vertical="center"/>
    </xf>
    <xf numFmtId="0" fontId="6" fillId="0" borderId="13" xfId="1" applyBorder="1" applyAlignment="1">
      <alignment horizontal="center" vertical="center"/>
    </xf>
    <xf numFmtId="0" fontId="6" fillId="0" borderId="15" xfId="1" applyBorder="1" applyAlignment="1">
      <alignment horizontal="center" vertical="center"/>
    </xf>
    <xf numFmtId="0" fontId="6" fillId="0" borderId="16" xfId="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wrapText="1"/>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47625</xdr:colOff>
      <xdr:row>2</xdr:row>
      <xdr:rowOff>76465</xdr:rowOff>
    </xdr:from>
    <xdr:to>
      <xdr:col>18</xdr:col>
      <xdr:colOff>352425</xdr:colOff>
      <xdr:row>11</xdr:row>
      <xdr:rowOff>19668</xdr:rowOff>
    </xdr:to>
    <xdr:pic>
      <xdr:nvPicPr>
        <xdr:cNvPr id="2" name="그림 1">
          <a:extLst>
            <a:ext uri="{FF2B5EF4-FFF2-40B4-BE49-F238E27FC236}">
              <a16:creationId xmlns:a16="http://schemas.microsoft.com/office/drawing/2014/main" id="{0C2A3C4B-E08B-4A63-9817-E5EDA7EAD518}"/>
            </a:ext>
          </a:extLst>
        </xdr:cNvPr>
        <xdr:cNvPicPr>
          <a:picLocks noChangeAspect="1"/>
        </xdr:cNvPicPr>
      </xdr:nvPicPr>
      <xdr:blipFill>
        <a:blip xmlns:r="http://schemas.openxmlformats.org/officeDocument/2006/relationships" r:embed="rId1"/>
        <a:stretch>
          <a:fillRect/>
        </a:stretch>
      </xdr:blipFill>
      <xdr:spPr>
        <a:xfrm>
          <a:off x="8515350" y="495565"/>
          <a:ext cx="6477000" cy="1829153"/>
        </a:xfrm>
        <a:prstGeom prst="rect">
          <a:avLst/>
        </a:prstGeom>
      </xdr:spPr>
    </xdr:pic>
    <xdr:clientData/>
  </xdr:twoCellAnchor>
  <xdr:twoCellAnchor editAs="oneCell">
    <xdr:from>
      <xdr:col>9</xdr:col>
      <xdr:colOff>57149</xdr:colOff>
      <xdr:row>12</xdr:row>
      <xdr:rowOff>95250</xdr:rowOff>
    </xdr:from>
    <xdr:to>
      <xdr:col>18</xdr:col>
      <xdr:colOff>457200</xdr:colOff>
      <xdr:row>16</xdr:row>
      <xdr:rowOff>152288</xdr:rowOff>
    </xdr:to>
    <xdr:pic>
      <xdr:nvPicPr>
        <xdr:cNvPr id="3" name="그림 2">
          <a:extLst>
            <a:ext uri="{FF2B5EF4-FFF2-40B4-BE49-F238E27FC236}">
              <a16:creationId xmlns:a16="http://schemas.microsoft.com/office/drawing/2014/main" id="{E41F8E9D-957F-8BFB-7CA8-A68CA49E5742}"/>
            </a:ext>
          </a:extLst>
        </xdr:cNvPr>
        <xdr:cNvPicPr>
          <a:picLocks noChangeAspect="1"/>
        </xdr:cNvPicPr>
      </xdr:nvPicPr>
      <xdr:blipFill>
        <a:blip xmlns:r="http://schemas.openxmlformats.org/officeDocument/2006/relationships" r:embed="rId2"/>
        <a:stretch>
          <a:fillRect/>
        </a:stretch>
      </xdr:blipFill>
      <xdr:spPr>
        <a:xfrm>
          <a:off x="8524874" y="2609850"/>
          <a:ext cx="6572251" cy="895238"/>
        </a:xfrm>
        <a:prstGeom prst="rect">
          <a:avLst/>
        </a:prstGeom>
      </xdr:spPr>
    </xdr:pic>
    <xdr:clientData/>
  </xdr:twoCellAnchor>
  <xdr:twoCellAnchor editAs="oneCell">
    <xdr:from>
      <xdr:col>9</xdr:col>
      <xdr:colOff>0</xdr:colOff>
      <xdr:row>18</xdr:row>
      <xdr:rowOff>1</xdr:rowOff>
    </xdr:from>
    <xdr:to>
      <xdr:col>18</xdr:col>
      <xdr:colOff>514350</xdr:colOff>
      <xdr:row>32</xdr:row>
      <xdr:rowOff>89483</xdr:rowOff>
    </xdr:to>
    <xdr:pic>
      <xdr:nvPicPr>
        <xdr:cNvPr id="5" name="그림 4">
          <a:extLst>
            <a:ext uri="{FF2B5EF4-FFF2-40B4-BE49-F238E27FC236}">
              <a16:creationId xmlns:a16="http://schemas.microsoft.com/office/drawing/2014/main" id="{E76B1DB4-D389-6846-0916-6609F12E678C}"/>
            </a:ext>
          </a:extLst>
        </xdr:cNvPr>
        <xdr:cNvPicPr>
          <a:picLocks noChangeAspect="1"/>
        </xdr:cNvPicPr>
      </xdr:nvPicPr>
      <xdr:blipFill>
        <a:blip xmlns:r="http://schemas.openxmlformats.org/officeDocument/2006/relationships" r:embed="rId3"/>
        <a:stretch>
          <a:fillRect/>
        </a:stretch>
      </xdr:blipFill>
      <xdr:spPr>
        <a:xfrm>
          <a:off x="8467725" y="3771901"/>
          <a:ext cx="6686550" cy="30231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log.naver.com/mhyoo1228/22185670698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7827-D177-44C1-93C8-C705450FADE1}">
  <dimension ref="B2:I93"/>
  <sheetViews>
    <sheetView topLeftCell="B68" workbookViewId="0">
      <selection activeCell="C94" sqref="C94"/>
    </sheetView>
  </sheetViews>
  <sheetFormatPr defaultRowHeight="16.5"/>
  <cols>
    <col min="1" max="1" width="20.5" style="17" bestFit="1" customWidth="1"/>
    <col min="2" max="2" width="36" style="16" bestFit="1" customWidth="1"/>
    <col min="3" max="3" width="42" style="17" bestFit="1" customWidth="1"/>
    <col min="4" max="4" width="33.875" style="17" bestFit="1" customWidth="1"/>
    <col min="5" max="5" width="19.25" style="16" customWidth="1"/>
    <col min="6" max="9" width="13.125" style="17" customWidth="1"/>
    <col min="10" max="16384" width="9" style="17"/>
  </cols>
  <sheetData>
    <row r="2" spans="2:9" ht="17.25" thickBot="1"/>
    <row r="3" spans="2:9">
      <c r="B3" s="51" t="s">
        <v>314</v>
      </c>
      <c r="C3" s="52"/>
      <c r="D3" s="52"/>
      <c r="E3" s="52"/>
      <c r="F3" s="52"/>
      <c r="G3" s="52"/>
      <c r="H3" s="52"/>
      <c r="I3" s="53"/>
    </row>
    <row r="4" spans="2:9" ht="17.25" thickBot="1">
      <c r="B4" s="54"/>
      <c r="C4" s="55"/>
      <c r="D4" s="55"/>
      <c r="E4" s="55"/>
      <c r="F4" s="55"/>
      <c r="G4" s="55"/>
      <c r="H4" s="55"/>
      <c r="I4" s="56"/>
    </row>
    <row r="5" spans="2:9" ht="17.25" thickBot="1">
      <c r="B5" s="29" t="s">
        <v>214</v>
      </c>
      <c r="C5" s="30" t="s">
        <v>208</v>
      </c>
      <c r="D5" s="30" t="s">
        <v>202</v>
      </c>
      <c r="E5" s="30" t="s">
        <v>203</v>
      </c>
      <c r="F5" s="57" t="s">
        <v>201</v>
      </c>
      <c r="G5" s="57"/>
      <c r="H5" s="57"/>
      <c r="I5" s="58"/>
    </row>
    <row r="6" spans="2:9">
      <c r="B6" s="59" t="s">
        <v>307</v>
      </c>
      <c r="C6" s="19" t="s">
        <v>193</v>
      </c>
      <c r="D6" s="32" t="s">
        <v>308</v>
      </c>
      <c r="E6" s="20" t="s">
        <v>305</v>
      </c>
      <c r="F6" s="45"/>
      <c r="G6" s="45"/>
      <c r="H6" s="45"/>
      <c r="I6" s="46"/>
    </row>
    <row r="7" spans="2:9">
      <c r="B7" s="43"/>
      <c r="C7" s="23" t="s">
        <v>194</v>
      </c>
      <c r="D7" s="21" t="s">
        <v>308</v>
      </c>
      <c r="E7" s="22" t="s">
        <v>306</v>
      </c>
      <c r="F7" s="49"/>
      <c r="G7" s="49"/>
      <c r="H7" s="49"/>
      <c r="I7" s="50"/>
    </row>
    <row r="8" spans="2:9">
      <c r="B8" s="43"/>
      <c r="C8" s="23" t="s">
        <v>195</v>
      </c>
      <c r="D8" s="21" t="s">
        <v>308</v>
      </c>
      <c r="E8" s="22" t="s">
        <v>306</v>
      </c>
      <c r="F8" s="49"/>
      <c r="G8" s="49"/>
      <c r="H8" s="49"/>
      <c r="I8" s="50"/>
    </row>
    <row r="9" spans="2:9">
      <c r="B9" s="43"/>
      <c r="C9" s="23" t="s">
        <v>196</v>
      </c>
      <c r="D9" s="21" t="s">
        <v>312</v>
      </c>
      <c r="E9" s="22" t="s">
        <v>313</v>
      </c>
      <c r="F9" s="49"/>
      <c r="G9" s="49"/>
      <c r="H9" s="49"/>
      <c r="I9" s="50"/>
    </row>
    <row r="10" spans="2:9">
      <c r="B10" s="43"/>
      <c r="C10" s="23" t="s">
        <v>197</v>
      </c>
      <c r="D10" s="21" t="s">
        <v>309</v>
      </c>
      <c r="E10" s="22" t="s">
        <v>315</v>
      </c>
      <c r="F10" s="49"/>
      <c r="G10" s="49"/>
      <c r="H10" s="49"/>
      <c r="I10" s="50"/>
    </row>
    <row r="11" spans="2:9" ht="33">
      <c r="B11" s="43"/>
      <c r="C11" s="23" t="s">
        <v>198</v>
      </c>
      <c r="D11" s="33" t="s">
        <v>310</v>
      </c>
      <c r="E11" s="22" t="s">
        <v>316</v>
      </c>
      <c r="F11" s="49"/>
      <c r="G11" s="49"/>
      <c r="H11" s="49"/>
      <c r="I11" s="50"/>
    </row>
    <row r="12" spans="2:9" ht="17.25" thickBot="1">
      <c r="B12" s="44"/>
      <c r="C12" s="24" t="s">
        <v>199</v>
      </c>
      <c r="D12" s="34" t="s">
        <v>311</v>
      </c>
      <c r="E12" s="25" t="s">
        <v>322</v>
      </c>
      <c r="F12" s="47"/>
      <c r="G12" s="47"/>
      <c r="H12" s="47"/>
      <c r="I12" s="48"/>
    </row>
    <row r="13" spans="2:9">
      <c r="B13" s="59" t="s">
        <v>304</v>
      </c>
      <c r="C13" s="19" t="s">
        <v>204</v>
      </c>
      <c r="D13" s="32" t="s">
        <v>209</v>
      </c>
      <c r="E13" s="20" t="s">
        <v>377</v>
      </c>
      <c r="F13" s="45"/>
      <c r="G13" s="45"/>
      <c r="H13" s="45"/>
      <c r="I13" s="46"/>
    </row>
    <row r="14" spans="2:9" ht="17.25" thickBot="1">
      <c r="B14" s="44"/>
      <c r="C14" s="24" t="s">
        <v>205</v>
      </c>
      <c r="D14" s="34" t="s">
        <v>313</v>
      </c>
      <c r="E14" s="25" t="s">
        <v>318</v>
      </c>
      <c r="F14" s="47"/>
      <c r="G14" s="47"/>
      <c r="H14" s="47"/>
      <c r="I14" s="48"/>
    </row>
    <row r="15" spans="2:9">
      <c r="B15" s="42" t="s">
        <v>206</v>
      </c>
      <c r="C15" s="19" t="s">
        <v>319</v>
      </c>
      <c r="D15" s="32" t="s">
        <v>320</v>
      </c>
      <c r="E15" s="20" t="s">
        <v>211</v>
      </c>
      <c r="F15" s="45"/>
      <c r="G15" s="45"/>
      <c r="H15" s="45"/>
      <c r="I15" s="46"/>
    </row>
    <row r="16" spans="2:9">
      <c r="B16" s="43"/>
      <c r="C16" s="23" t="s">
        <v>207</v>
      </c>
      <c r="D16" s="21" t="s">
        <v>243</v>
      </c>
      <c r="E16" s="22" t="s">
        <v>321</v>
      </c>
      <c r="F16" s="49"/>
      <c r="G16" s="49"/>
      <c r="H16" s="49"/>
      <c r="I16" s="50"/>
    </row>
    <row r="17" spans="2:9" ht="17.25" thickBot="1">
      <c r="B17" s="44"/>
      <c r="C17" s="24" t="s">
        <v>212</v>
      </c>
      <c r="D17" s="34" t="s">
        <v>213</v>
      </c>
      <c r="E17" s="25"/>
      <c r="F17" s="47"/>
      <c r="G17" s="47"/>
      <c r="H17" s="47"/>
      <c r="I17" s="48"/>
    </row>
    <row r="18" spans="2:9">
      <c r="B18" s="42" t="s">
        <v>215</v>
      </c>
      <c r="C18" s="19" t="s">
        <v>216</v>
      </c>
      <c r="D18" s="32" t="s">
        <v>218</v>
      </c>
      <c r="E18" s="45" t="s">
        <v>221</v>
      </c>
      <c r="F18" s="45" t="s">
        <v>220</v>
      </c>
      <c r="G18" s="45"/>
      <c r="H18" s="45"/>
      <c r="I18" s="46"/>
    </row>
    <row r="19" spans="2:9" ht="17.25" thickBot="1">
      <c r="B19" s="44"/>
      <c r="C19" s="24" t="s">
        <v>217</v>
      </c>
      <c r="D19" s="34" t="s">
        <v>219</v>
      </c>
      <c r="E19" s="47"/>
      <c r="F19" s="47"/>
      <c r="G19" s="47"/>
      <c r="H19" s="47"/>
      <c r="I19" s="48"/>
    </row>
    <row r="20" spans="2:9">
      <c r="B20" s="26" t="s">
        <v>222</v>
      </c>
      <c r="C20" s="19" t="s">
        <v>223</v>
      </c>
      <c r="D20" s="60" t="s">
        <v>347</v>
      </c>
      <c r="E20" s="45" t="s">
        <v>348</v>
      </c>
      <c r="F20" s="63" t="s">
        <v>225</v>
      </c>
      <c r="G20" s="63"/>
      <c r="H20" s="63"/>
      <c r="I20" s="64"/>
    </row>
    <row r="21" spans="2:9">
      <c r="B21" s="28" t="s">
        <v>228</v>
      </c>
      <c r="C21" s="21" t="s">
        <v>224</v>
      </c>
      <c r="D21" s="61"/>
      <c r="E21" s="49"/>
      <c r="F21" s="65"/>
      <c r="G21" s="65"/>
      <c r="H21" s="65"/>
      <c r="I21" s="66"/>
    </row>
    <row r="22" spans="2:9">
      <c r="B22" s="28" t="s">
        <v>229</v>
      </c>
      <c r="C22" s="21" t="s">
        <v>226</v>
      </c>
      <c r="D22" s="61"/>
      <c r="E22" s="49"/>
      <c r="F22" s="65"/>
      <c r="G22" s="65"/>
      <c r="H22" s="65"/>
      <c r="I22" s="66"/>
    </row>
    <row r="23" spans="2:9">
      <c r="B23" s="28" t="s">
        <v>230</v>
      </c>
      <c r="C23" s="21" t="s">
        <v>227</v>
      </c>
      <c r="D23" s="61"/>
      <c r="E23" s="49"/>
      <c r="F23" s="65"/>
      <c r="G23" s="65"/>
      <c r="H23" s="65"/>
      <c r="I23" s="66"/>
    </row>
    <row r="24" spans="2:9">
      <c r="B24" s="28" t="s">
        <v>231</v>
      </c>
      <c r="C24" s="21" t="s">
        <v>232</v>
      </c>
      <c r="D24" s="61"/>
      <c r="E24" s="49"/>
      <c r="F24" s="65"/>
      <c r="G24" s="65"/>
      <c r="H24" s="65"/>
      <c r="I24" s="66"/>
    </row>
    <row r="25" spans="2:9">
      <c r="B25" s="28" t="s">
        <v>233</v>
      </c>
      <c r="C25" s="23" t="s">
        <v>234</v>
      </c>
      <c r="D25" s="61"/>
      <c r="E25" s="49"/>
      <c r="F25" s="65"/>
      <c r="G25" s="65"/>
      <c r="H25" s="65"/>
      <c r="I25" s="66"/>
    </row>
    <row r="26" spans="2:9" ht="17.25" thickBot="1">
      <c r="B26" s="27" t="s">
        <v>235</v>
      </c>
      <c r="C26" s="24" t="s">
        <v>236</v>
      </c>
      <c r="D26" s="62"/>
      <c r="E26" s="47"/>
      <c r="F26" s="67"/>
      <c r="G26" s="67"/>
      <c r="H26" s="67"/>
      <c r="I26" s="68"/>
    </row>
    <row r="27" spans="2:9">
      <c r="B27" s="26" t="s">
        <v>237</v>
      </c>
      <c r="C27" s="19" t="s">
        <v>238</v>
      </c>
      <c r="D27" s="32"/>
      <c r="E27" s="20" t="s">
        <v>377</v>
      </c>
      <c r="F27" s="69"/>
      <c r="G27" s="52"/>
      <c r="H27" s="52"/>
      <c r="I27" s="53"/>
    </row>
    <row r="28" spans="2:9">
      <c r="B28" s="28" t="s">
        <v>239</v>
      </c>
      <c r="C28" s="23" t="s">
        <v>313</v>
      </c>
      <c r="D28" s="21" t="s">
        <v>376</v>
      </c>
      <c r="E28" s="22" t="s">
        <v>317</v>
      </c>
      <c r="F28" s="70"/>
      <c r="G28" s="71"/>
      <c r="H28" s="71"/>
      <c r="I28" s="72"/>
    </row>
    <row r="29" spans="2:9" ht="17.25" thickBot="1">
      <c r="B29" s="27" t="s">
        <v>240</v>
      </c>
      <c r="C29" s="24" t="s">
        <v>313</v>
      </c>
      <c r="D29" s="34" t="s">
        <v>376</v>
      </c>
      <c r="E29" s="25" t="s">
        <v>317</v>
      </c>
      <c r="F29" s="73"/>
      <c r="G29" s="55"/>
      <c r="H29" s="55"/>
      <c r="I29" s="56"/>
    </row>
    <row r="30" spans="2:9">
      <c r="B30" s="42" t="s">
        <v>241</v>
      </c>
      <c r="C30" s="19" t="s">
        <v>242</v>
      </c>
      <c r="D30" s="32">
        <v>24</v>
      </c>
      <c r="E30" s="77" t="s">
        <v>378</v>
      </c>
      <c r="F30" s="69"/>
      <c r="G30" s="52"/>
      <c r="H30" s="52"/>
      <c r="I30" s="53"/>
    </row>
    <row r="31" spans="2:9">
      <c r="B31" s="43"/>
      <c r="C31" s="23" t="s">
        <v>244</v>
      </c>
      <c r="D31" s="21" t="s">
        <v>252</v>
      </c>
      <c r="E31" s="78"/>
      <c r="F31" s="70"/>
      <c r="G31" s="71"/>
      <c r="H31" s="71"/>
      <c r="I31" s="72"/>
    </row>
    <row r="32" spans="2:9">
      <c r="B32" s="43"/>
      <c r="C32" s="23" t="s">
        <v>245</v>
      </c>
      <c r="D32" s="21">
        <v>128</v>
      </c>
      <c r="E32" s="78"/>
      <c r="F32" s="70"/>
      <c r="G32" s="71"/>
      <c r="H32" s="71"/>
      <c r="I32" s="72"/>
    </row>
    <row r="33" spans="2:9">
      <c r="B33" s="43"/>
      <c r="C33" s="23" t="s">
        <v>246</v>
      </c>
      <c r="D33" s="21" t="s">
        <v>247</v>
      </c>
      <c r="E33" s="78"/>
      <c r="F33" s="70"/>
      <c r="G33" s="71"/>
      <c r="H33" s="71"/>
      <c r="I33" s="72"/>
    </row>
    <row r="34" spans="2:9" ht="17.25" thickBot="1">
      <c r="B34" s="44"/>
      <c r="C34" s="24" t="s">
        <v>248</v>
      </c>
      <c r="D34" s="34" t="s">
        <v>249</v>
      </c>
      <c r="E34" s="79"/>
      <c r="F34" s="73"/>
      <c r="G34" s="55"/>
      <c r="H34" s="55"/>
      <c r="I34" s="56"/>
    </row>
    <row r="35" spans="2:9" ht="17.25" thickBot="1">
      <c r="B35" s="29" t="s">
        <v>250</v>
      </c>
      <c r="C35" s="31" t="s">
        <v>251</v>
      </c>
      <c r="D35" s="35" t="s">
        <v>252</v>
      </c>
      <c r="E35" s="30" t="s">
        <v>377</v>
      </c>
      <c r="F35" s="74"/>
      <c r="G35" s="75"/>
      <c r="H35" s="75"/>
      <c r="I35" s="76"/>
    </row>
    <row r="36" spans="2:9">
      <c r="B36" s="42" t="s">
        <v>253</v>
      </c>
      <c r="C36" s="19" t="s">
        <v>349</v>
      </c>
      <c r="D36" s="32" t="s">
        <v>254</v>
      </c>
      <c r="E36" s="45" t="s">
        <v>255</v>
      </c>
      <c r="F36" s="45"/>
      <c r="G36" s="45"/>
      <c r="H36" s="45"/>
      <c r="I36" s="46"/>
    </row>
    <row r="37" spans="2:9">
      <c r="B37" s="43"/>
      <c r="C37" s="23" t="s">
        <v>256</v>
      </c>
      <c r="D37" s="21" t="s">
        <v>252</v>
      </c>
      <c r="E37" s="49"/>
      <c r="F37" s="49"/>
      <c r="G37" s="49"/>
      <c r="H37" s="49"/>
      <c r="I37" s="50"/>
    </row>
    <row r="38" spans="2:9">
      <c r="B38" s="43"/>
      <c r="C38" s="23" t="s">
        <v>257</v>
      </c>
      <c r="D38" s="21">
        <f>5000/0.005</f>
        <v>1000000</v>
      </c>
      <c r="E38" s="49"/>
      <c r="F38" s="49"/>
      <c r="G38" s="49"/>
      <c r="H38" s="49"/>
      <c r="I38" s="50"/>
    </row>
    <row r="39" spans="2:9" ht="17.25" thickBot="1">
      <c r="B39" s="44"/>
      <c r="C39" s="24" t="s">
        <v>258</v>
      </c>
      <c r="D39" s="34" t="s">
        <v>259</v>
      </c>
      <c r="E39" s="47"/>
      <c r="F39" s="47"/>
      <c r="G39" s="47"/>
      <c r="H39" s="47"/>
      <c r="I39" s="48"/>
    </row>
    <row r="40" spans="2:9">
      <c r="B40" s="42" t="s">
        <v>350</v>
      </c>
      <c r="C40" s="19" t="s">
        <v>260</v>
      </c>
      <c r="D40" s="32" t="s">
        <v>247</v>
      </c>
      <c r="E40" s="77" t="s">
        <v>379</v>
      </c>
      <c r="F40" s="69"/>
      <c r="G40" s="52"/>
      <c r="H40" s="52"/>
      <c r="I40" s="53"/>
    </row>
    <row r="41" spans="2:9">
      <c r="B41" s="43"/>
      <c r="C41" s="23" t="s">
        <v>261</v>
      </c>
      <c r="D41" s="21" t="s">
        <v>313</v>
      </c>
      <c r="E41" s="78"/>
      <c r="F41" s="70"/>
      <c r="G41" s="71"/>
      <c r="H41" s="71"/>
      <c r="I41" s="72"/>
    </row>
    <row r="42" spans="2:9">
      <c r="B42" s="43"/>
      <c r="C42" s="23" t="s">
        <v>262</v>
      </c>
      <c r="D42" s="21" t="s">
        <v>263</v>
      </c>
      <c r="E42" s="78"/>
      <c r="F42" s="70"/>
      <c r="G42" s="71"/>
      <c r="H42" s="71"/>
      <c r="I42" s="72"/>
    </row>
    <row r="43" spans="2:9">
      <c r="B43" s="43"/>
      <c r="C43" s="23" t="s">
        <v>265</v>
      </c>
      <c r="D43" s="21" t="s">
        <v>264</v>
      </c>
      <c r="E43" s="78"/>
      <c r="F43" s="70"/>
      <c r="G43" s="71"/>
      <c r="H43" s="71"/>
      <c r="I43" s="72"/>
    </row>
    <row r="44" spans="2:9">
      <c r="B44" s="43"/>
      <c r="C44" s="23" t="s">
        <v>267</v>
      </c>
      <c r="D44" s="21" t="s">
        <v>266</v>
      </c>
      <c r="E44" s="78"/>
      <c r="F44" s="70"/>
      <c r="G44" s="71"/>
      <c r="H44" s="71"/>
      <c r="I44" s="72"/>
    </row>
    <row r="45" spans="2:9">
      <c r="B45" s="43"/>
      <c r="C45" s="23" t="s">
        <v>268</v>
      </c>
      <c r="D45" s="21" t="s">
        <v>313</v>
      </c>
      <c r="E45" s="78"/>
      <c r="F45" s="70"/>
      <c r="G45" s="71"/>
      <c r="H45" s="71"/>
      <c r="I45" s="72"/>
    </row>
    <row r="46" spans="2:9">
      <c r="B46" s="43"/>
      <c r="C46" s="23" t="s">
        <v>269</v>
      </c>
      <c r="D46" s="21" t="s">
        <v>313</v>
      </c>
      <c r="E46" s="78"/>
      <c r="F46" s="70"/>
      <c r="G46" s="71"/>
      <c r="H46" s="71"/>
      <c r="I46" s="72"/>
    </row>
    <row r="47" spans="2:9" ht="17.25" thickBot="1">
      <c r="B47" s="44"/>
      <c r="C47" s="24" t="s">
        <v>270</v>
      </c>
      <c r="D47" s="34" t="s">
        <v>313</v>
      </c>
      <c r="E47" s="79"/>
      <c r="F47" s="73"/>
      <c r="G47" s="55"/>
      <c r="H47" s="55"/>
      <c r="I47" s="56"/>
    </row>
    <row r="48" spans="2:9">
      <c r="B48" s="42" t="s">
        <v>271</v>
      </c>
      <c r="C48" s="19" t="s">
        <v>272</v>
      </c>
      <c r="D48" s="32" t="s">
        <v>354</v>
      </c>
      <c r="E48" s="80" t="s">
        <v>377</v>
      </c>
      <c r="F48" s="45"/>
      <c r="G48" s="45"/>
      <c r="H48" s="45"/>
      <c r="I48" s="46"/>
    </row>
    <row r="49" spans="2:9">
      <c r="B49" s="43"/>
      <c r="C49" s="23" t="s">
        <v>351</v>
      </c>
      <c r="D49" s="21" t="s">
        <v>273</v>
      </c>
      <c r="E49" s="78"/>
      <c r="F49" s="49"/>
      <c r="G49" s="49"/>
      <c r="H49" s="49"/>
      <c r="I49" s="50"/>
    </row>
    <row r="50" spans="2:9">
      <c r="B50" s="43"/>
      <c r="C50" s="23" t="s">
        <v>274</v>
      </c>
      <c r="D50" s="21" t="s">
        <v>275</v>
      </c>
      <c r="E50" s="78"/>
      <c r="F50" s="49"/>
      <c r="G50" s="49"/>
      <c r="H50" s="49"/>
      <c r="I50" s="50"/>
    </row>
    <row r="51" spans="2:9">
      <c r="B51" s="43"/>
      <c r="C51" s="23" t="s">
        <v>276</v>
      </c>
      <c r="D51" s="21" t="s">
        <v>277</v>
      </c>
      <c r="E51" s="78"/>
      <c r="F51" s="49"/>
      <c r="G51" s="49"/>
      <c r="H51" s="49"/>
      <c r="I51" s="50"/>
    </row>
    <row r="52" spans="2:9">
      <c r="B52" s="43"/>
      <c r="C52" s="23" t="s">
        <v>278</v>
      </c>
      <c r="D52" s="21" t="s">
        <v>279</v>
      </c>
      <c r="E52" s="78"/>
      <c r="F52" s="49"/>
      <c r="G52" s="49"/>
      <c r="H52" s="49"/>
      <c r="I52" s="50"/>
    </row>
    <row r="53" spans="2:9">
      <c r="B53" s="43"/>
      <c r="C53" s="23" t="s">
        <v>284</v>
      </c>
      <c r="D53" s="21" t="s">
        <v>280</v>
      </c>
      <c r="E53" s="78"/>
      <c r="F53" s="49"/>
      <c r="G53" s="49"/>
      <c r="H53" s="49"/>
      <c r="I53" s="50"/>
    </row>
    <row r="54" spans="2:9">
      <c r="B54" s="43"/>
      <c r="C54" s="23" t="s">
        <v>281</v>
      </c>
      <c r="D54" s="21" t="s">
        <v>282</v>
      </c>
      <c r="E54" s="78"/>
      <c r="F54" s="49"/>
      <c r="G54" s="49"/>
      <c r="H54" s="49"/>
      <c r="I54" s="50"/>
    </row>
    <row r="55" spans="2:9">
      <c r="B55" s="43"/>
      <c r="C55" s="23" t="s">
        <v>288</v>
      </c>
      <c r="D55" s="21" t="s">
        <v>283</v>
      </c>
      <c r="E55" s="78"/>
      <c r="F55" s="49"/>
      <c r="G55" s="49"/>
      <c r="H55" s="49"/>
      <c r="I55" s="50"/>
    </row>
    <row r="56" spans="2:9">
      <c r="B56" s="43"/>
      <c r="C56" s="23" t="s">
        <v>285</v>
      </c>
      <c r="D56" s="21" t="s">
        <v>286</v>
      </c>
      <c r="E56" s="78"/>
      <c r="F56" s="49"/>
      <c r="G56" s="49"/>
      <c r="H56" s="49"/>
      <c r="I56" s="50"/>
    </row>
    <row r="57" spans="2:9" ht="17.25" thickBot="1">
      <c r="B57" s="44"/>
      <c r="C57" s="24" t="s">
        <v>287</v>
      </c>
      <c r="D57" s="34" t="s">
        <v>313</v>
      </c>
      <c r="E57" s="79"/>
      <c r="F57" s="47"/>
      <c r="G57" s="47"/>
      <c r="H57" s="47"/>
      <c r="I57" s="48"/>
    </row>
    <row r="58" spans="2:9">
      <c r="B58" s="42" t="s">
        <v>289</v>
      </c>
      <c r="C58" s="19" t="s">
        <v>290</v>
      </c>
      <c r="D58" s="32" t="s">
        <v>291</v>
      </c>
      <c r="E58" s="80" t="s">
        <v>377</v>
      </c>
      <c r="F58" s="69"/>
      <c r="G58" s="52"/>
      <c r="H58" s="52"/>
      <c r="I58" s="53"/>
    </row>
    <row r="59" spans="2:9">
      <c r="B59" s="43"/>
      <c r="C59" s="23" t="s">
        <v>292</v>
      </c>
      <c r="D59" s="21" t="s">
        <v>293</v>
      </c>
      <c r="E59" s="78"/>
      <c r="F59" s="70"/>
      <c r="G59" s="71"/>
      <c r="H59" s="71"/>
      <c r="I59" s="72"/>
    </row>
    <row r="60" spans="2:9">
      <c r="B60" s="43"/>
      <c r="C60" s="23" t="s">
        <v>294</v>
      </c>
      <c r="D60" s="21" t="s">
        <v>295</v>
      </c>
      <c r="E60" s="78"/>
      <c r="F60" s="70"/>
      <c r="G60" s="71"/>
      <c r="H60" s="71"/>
      <c r="I60" s="72"/>
    </row>
    <row r="61" spans="2:9">
      <c r="B61" s="43"/>
      <c r="C61" s="23" t="s">
        <v>296</v>
      </c>
      <c r="D61" s="21" t="s">
        <v>297</v>
      </c>
      <c r="E61" s="78"/>
      <c r="F61" s="70"/>
      <c r="G61" s="71"/>
      <c r="H61" s="71"/>
      <c r="I61" s="72"/>
    </row>
    <row r="62" spans="2:9">
      <c r="B62" s="43"/>
      <c r="C62" s="23" t="s">
        <v>298</v>
      </c>
      <c r="D62" s="21" t="s">
        <v>299</v>
      </c>
      <c r="E62" s="78"/>
      <c r="F62" s="70"/>
      <c r="G62" s="71"/>
      <c r="H62" s="71"/>
      <c r="I62" s="72"/>
    </row>
    <row r="63" spans="2:9">
      <c r="B63" s="43"/>
      <c r="C63" s="23" t="s">
        <v>300</v>
      </c>
      <c r="D63" s="21" t="s">
        <v>353</v>
      </c>
      <c r="E63" s="78"/>
      <c r="F63" s="70"/>
      <c r="G63" s="71"/>
      <c r="H63" s="71"/>
      <c r="I63" s="72"/>
    </row>
    <row r="64" spans="2:9">
      <c r="B64" s="43"/>
      <c r="C64" s="23" t="s">
        <v>301</v>
      </c>
      <c r="D64" s="21" t="s">
        <v>352</v>
      </c>
      <c r="E64" s="78"/>
      <c r="F64" s="70"/>
      <c r="G64" s="71"/>
      <c r="H64" s="71"/>
      <c r="I64" s="72"/>
    </row>
    <row r="65" spans="2:9">
      <c r="B65" s="43"/>
      <c r="C65" s="23" t="s">
        <v>302</v>
      </c>
      <c r="D65" s="21"/>
      <c r="E65" s="78"/>
      <c r="F65" s="70"/>
      <c r="G65" s="71"/>
      <c r="H65" s="71"/>
      <c r="I65" s="72"/>
    </row>
    <row r="66" spans="2:9" ht="17.25" thickBot="1">
      <c r="B66" s="44"/>
      <c r="C66" s="24" t="s">
        <v>303</v>
      </c>
      <c r="D66" s="34"/>
      <c r="E66" s="79"/>
      <c r="F66" s="73"/>
      <c r="G66" s="55"/>
      <c r="H66" s="55"/>
      <c r="I66" s="56"/>
    </row>
    <row r="67" spans="2:9">
      <c r="B67" s="42" t="s">
        <v>323</v>
      </c>
      <c r="C67" s="19" t="s">
        <v>246</v>
      </c>
      <c r="D67" s="32" t="s">
        <v>324</v>
      </c>
      <c r="E67" s="80"/>
      <c r="F67" s="69"/>
      <c r="G67" s="52"/>
      <c r="H67" s="52"/>
      <c r="I67" s="53"/>
    </row>
    <row r="68" spans="2:9">
      <c r="B68" s="43"/>
      <c r="C68" s="23" t="s">
        <v>325</v>
      </c>
      <c r="D68" s="21" t="s">
        <v>326</v>
      </c>
      <c r="E68" s="78"/>
      <c r="F68" s="70"/>
      <c r="G68" s="71"/>
      <c r="H68" s="71"/>
      <c r="I68" s="72"/>
    </row>
    <row r="69" spans="2:9">
      <c r="B69" s="43"/>
      <c r="C69" s="23" t="s">
        <v>327</v>
      </c>
      <c r="D69" s="21" t="s">
        <v>328</v>
      </c>
      <c r="E69" s="78"/>
      <c r="F69" s="70"/>
      <c r="G69" s="71"/>
      <c r="H69" s="71"/>
      <c r="I69" s="72"/>
    </row>
    <row r="70" spans="2:9">
      <c r="B70" s="43"/>
      <c r="C70" s="23" t="s">
        <v>329</v>
      </c>
      <c r="D70" s="21" t="s">
        <v>210</v>
      </c>
      <c r="E70" s="78"/>
      <c r="F70" s="70"/>
      <c r="G70" s="71"/>
      <c r="H70" s="71"/>
      <c r="I70" s="72"/>
    </row>
    <row r="71" spans="2:9">
      <c r="B71" s="43"/>
      <c r="C71" s="23" t="s">
        <v>330</v>
      </c>
      <c r="D71" s="21" t="s">
        <v>380</v>
      </c>
      <c r="E71" s="78"/>
      <c r="F71" s="70"/>
      <c r="G71" s="71"/>
      <c r="H71" s="71"/>
      <c r="I71" s="72"/>
    </row>
    <row r="72" spans="2:9">
      <c r="B72" s="43"/>
      <c r="C72" s="23" t="s">
        <v>331</v>
      </c>
      <c r="D72" s="21" t="s">
        <v>332</v>
      </c>
      <c r="E72" s="78"/>
      <c r="F72" s="70"/>
      <c r="G72" s="71"/>
      <c r="H72" s="71"/>
      <c r="I72" s="72"/>
    </row>
    <row r="73" spans="2:9">
      <c r="B73" s="43"/>
      <c r="C73" s="23" t="s">
        <v>333</v>
      </c>
      <c r="D73" s="21" t="s">
        <v>381</v>
      </c>
      <c r="E73" s="78"/>
      <c r="F73" s="70"/>
      <c r="G73" s="71"/>
      <c r="H73" s="71"/>
      <c r="I73" s="72"/>
    </row>
    <row r="74" spans="2:9">
      <c r="B74" s="43"/>
      <c r="C74" s="23" t="s">
        <v>334</v>
      </c>
      <c r="D74" s="21" t="s">
        <v>313</v>
      </c>
      <c r="E74" s="78"/>
      <c r="F74" s="70"/>
      <c r="G74" s="71"/>
      <c r="H74" s="71"/>
      <c r="I74" s="72"/>
    </row>
    <row r="75" spans="2:9" ht="17.25" thickBot="1">
      <c r="B75" s="44"/>
      <c r="C75" s="24" t="s">
        <v>335</v>
      </c>
      <c r="D75" s="34" t="s">
        <v>336</v>
      </c>
      <c r="E75" s="79"/>
      <c r="F75" s="73"/>
      <c r="G75" s="55"/>
      <c r="H75" s="55"/>
      <c r="I75" s="56"/>
    </row>
    <row r="77" spans="2:9">
      <c r="B77" s="36" t="s">
        <v>337</v>
      </c>
      <c r="C77" s="16" t="s">
        <v>340</v>
      </c>
      <c r="D77" s="16" t="s">
        <v>200</v>
      </c>
      <c r="E77" s="16" t="s">
        <v>356</v>
      </c>
      <c r="F77" s="71" t="s">
        <v>367</v>
      </c>
      <c r="G77" s="71"/>
      <c r="H77" s="71"/>
      <c r="I77" s="71"/>
    </row>
    <row r="78" spans="2:9">
      <c r="B78" s="16" t="s">
        <v>192</v>
      </c>
      <c r="C78" s="16" t="s">
        <v>338</v>
      </c>
      <c r="D78" s="16" t="s">
        <v>341</v>
      </c>
      <c r="E78" s="16" t="s">
        <v>357</v>
      </c>
      <c r="F78" s="71" t="s">
        <v>358</v>
      </c>
      <c r="G78" s="71"/>
      <c r="H78" s="71"/>
      <c r="I78" s="71"/>
    </row>
    <row r="79" spans="2:9">
      <c r="B79" s="16" t="s">
        <v>339</v>
      </c>
      <c r="C79" s="16" t="s">
        <v>483</v>
      </c>
      <c r="D79" s="16" t="s">
        <v>341</v>
      </c>
      <c r="E79" s="16" t="s">
        <v>359</v>
      </c>
      <c r="F79" s="71" t="s">
        <v>360</v>
      </c>
      <c r="G79" s="71"/>
      <c r="H79" s="71"/>
      <c r="I79" s="71"/>
    </row>
    <row r="80" spans="2:9">
      <c r="B80" s="16" t="s">
        <v>215</v>
      </c>
      <c r="C80" s="16" t="s">
        <v>484</v>
      </c>
      <c r="D80" s="16" t="s">
        <v>355</v>
      </c>
      <c r="E80" s="16" t="s">
        <v>361</v>
      </c>
      <c r="F80" s="71" t="s">
        <v>362</v>
      </c>
      <c r="G80" s="71"/>
      <c r="H80" s="71"/>
      <c r="I80" s="71"/>
    </row>
    <row r="81" spans="2:9">
      <c r="B81" s="16" t="s">
        <v>342</v>
      </c>
      <c r="C81" s="16" t="s">
        <v>343</v>
      </c>
      <c r="D81" s="16" t="s">
        <v>363</v>
      </c>
      <c r="E81" s="16" t="s">
        <v>364</v>
      </c>
      <c r="F81" s="71" t="s">
        <v>365</v>
      </c>
      <c r="G81" s="71"/>
      <c r="H81" s="71"/>
      <c r="I81" s="71"/>
    </row>
    <row r="82" spans="2:9">
      <c r="B82" s="16" t="s">
        <v>344</v>
      </c>
      <c r="C82" s="16" t="s">
        <v>345</v>
      </c>
      <c r="D82" s="16" t="s">
        <v>355</v>
      </c>
      <c r="E82" s="16" t="s">
        <v>368</v>
      </c>
      <c r="F82" s="81" t="s">
        <v>366</v>
      </c>
      <c r="G82" s="71"/>
      <c r="H82" s="71"/>
      <c r="I82" s="71"/>
    </row>
    <row r="83" spans="2:9">
      <c r="B83" s="16" t="s">
        <v>271</v>
      </c>
      <c r="C83" s="16" t="s">
        <v>486</v>
      </c>
      <c r="D83" s="16" t="s">
        <v>355</v>
      </c>
      <c r="E83" s="16" t="s">
        <v>370</v>
      </c>
      <c r="F83" s="71" t="s">
        <v>369</v>
      </c>
      <c r="G83" s="71"/>
      <c r="H83" s="71"/>
      <c r="I83" s="71"/>
    </row>
    <row r="84" spans="2:9">
      <c r="B84" s="16" t="s">
        <v>289</v>
      </c>
      <c r="C84" s="16" t="s">
        <v>346</v>
      </c>
      <c r="D84" s="16" t="s">
        <v>371</v>
      </c>
      <c r="E84" s="16" t="s">
        <v>374</v>
      </c>
      <c r="F84" s="71" t="s">
        <v>375</v>
      </c>
      <c r="G84" s="71"/>
      <c r="H84" s="71"/>
      <c r="I84" s="71"/>
    </row>
    <row r="85" spans="2:9">
      <c r="B85" s="16" t="s">
        <v>523</v>
      </c>
      <c r="C85" s="16" t="s">
        <v>485</v>
      </c>
      <c r="D85" s="16" t="s">
        <v>386</v>
      </c>
      <c r="E85" s="16" t="s">
        <v>388</v>
      </c>
      <c r="F85" s="71" t="s">
        <v>387</v>
      </c>
      <c r="G85" s="71"/>
      <c r="H85" s="71"/>
      <c r="I85" s="71"/>
    </row>
    <row r="86" spans="2:9">
      <c r="B86" s="16" t="s">
        <v>333</v>
      </c>
      <c r="C86" s="16" t="s">
        <v>524</v>
      </c>
      <c r="D86" s="16" t="s">
        <v>341</v>
      </c>
      <c r="E86" s="16" t="s">
        <v>525</v>
      </c>
      <c r="F86" s="71" t="s">
        <v>526</v>
      </c>
      <c r="G86" s="71"/>
      <c r="H86" s="71"/>
      <c r="I86" s="71"/>
    </row>
    <row r="87" spans="2:9">
      <c r="B87" s="16" t="s">
        <v>372</v>
      </c>
      <c r="C87" s="16" t="s">
        <v>313</v>
      </c>
      <c r="D87" s="16" t="s">
        <v>373</v>
      </c>
      <c r="E87" s="16" t="s">
        <v>373</v>
      </c>
      <c r="F87" s="71" t="s">
        <v>382</v>
      </c>
      <c r="G87" s="71"/>
      <c r="H87" s="71"/>
      <c r="I87" s="71"/>
    </row>
    <row r="88" spans="2:9">
      <c r="B88" s="16" t="s">
        <v>383</v>
      </c>
      <c r="C88" s="16" t="s">
        <v>384</v>
      </c>
      <c r="D88" s="16" t="s">
        <v>373</v>
      </c>
      <c r="E88" s="16" t="s">
        <v>373</v>
      </c>
      <c r="F88" s="71" t="s">
        <v>385</v>
      </c>
      <c r="G88" s="71"/>
      <c r="H88" s="71"/>
      <c r="I88" s="71"/>
    </row>
    <row r="89" spans="2:9">
      <c r="F89" s="71"/>
      <c r="G89" s="71"/>
      <c r="H89" s="71"/>
      <c r="I89" s="71"/>
    </row>
    <row r="90" spans="2:9">
      <c r="F90" s="71"/>
      <c r="G90" s="71"/>
      <c r="H90" s="71"/>
      <c r="I90" s="71"/>
    </row>
    <row r="91" spans="2:9">
      <c r="F91" s="71"/>
      <c r="G91" s="71"/>
      <c r="H91" s="71"/>
      <c r="I91" s="71"/>
    </row>
    <row r="92" spans="2:9">
      <c r="F92" s="71"/>
      <c r="G92" s="71"/>
      <c r="H92" s="71"/>
      <c r="I92" s="71"/>
    </row>
    <row r="93" spans="2:9">
      <c r="F93" s="71"/>
      <c r="G93" s="71"/>
      <c r="H93" s="71"/>
      <c r="I93" s="71"/>
    </row>
  </sheetData>
  <mergeCells count="51">
    <mergeCell ref="F86:I86"/>
    <mergeCell ref="F93:I93"/>
    <mergeCell ref="E30:E34"/>
    <mergeCell ref="E48:E57"/>
    <mergeCell ref="E40:E47"/>
    <mergeCell ref="E58:E66"/>
    <mergeCell ref="E67:E75"/>
    <mergeCell ref="F88:I88"/>
    <mergeCell ref="F89:I89"/>
    <mergeCell ref="F90:I90"/>
    <mergeCell ref="F91:I91"/>
    <mergeCell ref="F92:I92"/>
    <mergeCell ref="F82:I82"/>
    <mergeCell ref="F83:I83"/>
    <mergeCell ref="F84:I84"/>
    <mergeCell ref="F85:I85"/>
    <mergeCell ref="F87:I87"/>
    <mergeCell ref="F77:I77"/>
    <mergeCell ref="F78:I78"/>
    <mergeCell ref="F79:I79"/>
    <mergeCell ref="F80:I80"/>
    <mergeCell ref="F81:I81"/>
    <mergeCell ref="B48:B57"/>
    <mergeCell ref="B58:B66"/>
    <mergeCell ref="F48:I57"/>
    <mergeCell ref="F58:I66"/>
    <mergeCell ref="B67:B75"/>
    <mergeCell ref="F67:I75"/>
    <mergeCell ref="F35:I35"/>
    <mergeCell ref="F36:I39"/>
    <mergeCell ref="B36:B39"/>
    <mergeCell ref="B40:B47"/>
    <mergeCell ref="E36:E39"/>
    <mergeCell ref="F40:I47"/>
    <mergeCell ref="D20:D26"/>
    <mergeCell ref="E20:E26"/>
    <mergeCell ref="F20:I26"/>
    <mergeCell ref="B30:B34"/>
    <mergeCell ref="F30:I34"/>
    <mergeCell ref="F27:I29"/>
    <mergeCell ref="B3:I4"/>
    <mergeCell ref="F5:I5"/>
    <mergeCell ref="B6:B12"/>
    <mergeCell ref="F6:I12"/>
    <mergeCell ref="B13:B14"/>
    <mergeCell ref="B15:B17"/>
    <mergeCell ref="B18:B19"/>
    <mergeCell ref="F13:I14"/>
    <mergeCell ref="F15:I17"/>
    <mergeCell ref="E18:E19"/>
    <mergeCell ref="F18:I19"/>
  </mergeCells>
  <phoneticPr fontId="5" type="noConversion"/>
  <hyperlinks>
    <hyperlink ref="F20" r:id="rId1" xr:uid="{3A918356-1AE5-40E2-9C47-D9D133E82B5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32B53-7271-4D54-AC74-6FCC928FF04A}">
  <dimension ref="A1:K20"/>
  <sheetViews>
    <sheetView workbookViewId="0">
      <selection activeCell="M11" sqref="M11"/>
    </sheetView>
  </sheetViews>
  <sheetFormatPr defaultRowHeight="16.5"/>
  <cols>
    <col min="1" max="1" width="29.125" bestFit="1" customWidth="1"/>
    <col min="2" max="2" width="11.25" bestFit="1" customWidth="1"/>
    <col min="3" max="3" width="30.125" customWidth="1"/>
  </cols>
  <sheetData>
    <row r="1" spans="1:11">
      <c r="A1" s="82" t="s">
        <v>389</v>
      </c>
      <c r="B1" s="82"/>
      <c r="C1" s="82"/>
      <c r="D1" s="82"/>
      <c r="E1" s="82"/>
      <c r="F1" s="82"/>
      <c r="G1" s="82"/>
      <c r="H1" s="82"/>
      <c r="I1" s="82"/>
      <c r="J1" s="82"/>
      <c r="K1" s="82"/>
    </row>
    <row r="2" spans="1:11">
      <c r="A2" s="18" t="s">
        <v>396</v>
      </c>
      <c r="B2" s="18" t="s">
        <v>397</v>
      </c>
      <c r="C2" s="18" t="s">
        <v>367</v>
      </c>
      <c r="D2" s="82" t="s">
        <v>416</v>
      </c>
      <c r="E2" s="82"/>
      <c r="F2" s="82"/>
      <c r="G2" s="82" t="s">
        <v>201</v>
      </c>
      <c r="H2" s="82"/>
      <c r="I2" s="82"/>
      <c r="J2" s="82"/>
      <c r="K2" s="82"/>
    </row>
    <row r="3" spans="1:11" ht="16.5" customHeight="1">
      <c r="A3" s="81" t="s">
        <v>395</v>
      </c>
      <c r="B3" t="s">
        <v>390</v>
      </c>
      <c r="C3" t="s">
        <v>391</v>
      </c>
      <c r="D3" s="82" t="s">
        <v>417</v>
      </c>
      <c r="E3" s="82"/>
      <c r="F3" s="82"/>
      <c r="G3" s="82" t="s">
        <v>394</v>
      </c>
      <c r="H3" s="82"/>
      <c r="I3" s="82"/>
      <c r="J3" s="82"/>
      <c r="K3" s="82"/>
    </row>
    <row r="4" spans="1:11" ht="35.25" customHeight="1">
      <c r="A4" s="81"/>
      <c r="B4" s="37" t="s">
        <v>392</v>
      </c>
      <c r="C4" s="37" t="s">
        <v>393</v>
      </c>
      <c r="D4" s="71" t="s">
        <v>418</v>
      </c>
      <c r="E4" s="71"/>
      <c r="F4" s="71"/>
      <c r="G4" s="83" t="s">
        <v>398</v>
      </c>
      <c r="H4" s="83"/>
      <c r="I4" s="83"/>
      <c r="J4" s="83"/>
      <c r="K4" s="83"/>
    </row>
    <row r="5" spans="1:11">
      <c r="A5" s="81"/>
      <c r="B5" t="s">
        <v>399</v>
      </c>
      <c r="C5" t="s">
        <v>400</v>
      </c>
      <c r="D5" s="82" t="s">
        <v>419</v>
      </c>
      <c r="E5" s="82"/>
      <c r="F5" s="82"/>
      <c r="G5" s="82" t="s">
        <v>401</v>
      </c>
      <c r="H5" s="82"/>
      <c r="I5" s="82"/>
      <c r="J5" s="82"/>
      <c r="K5" s="82"/>
    </row>
    <row r="6" spans="1:11">
      <c r="A6" s="81"/>
      <c r="B6" t="s">
        <v>402</v>
      </c>
      <c r="C6" t="s">
        <v>403</v>
      </c>
      <c r="D6" s="82" t="s">
        <v>420</v>
      </c>
      <c r="E6" s="82"/>
      <c r="F6" s="82"/>
      <c r="G6" s="82" t="s">
        <v>404</v>
      </c>
      <c r="H6" s="82"/>
      <c r="I6" s="82"/>
      <c r="J6" s="82"/>
      <c r="K6" s="82"/>
    </row>
    <row r="7" spans="1:11">
      <c r="A7" s="81"/>
      <c r="B7" t="s">
        <v>406</v>
      </c>
      <c r="C7" t="s">
        <v>405</v>
      </c>
      <c r="D7" s="82" t="s">
        <v>421</v>
      </c>
      <c r="E7" s="82"/>
      <c r="F7" s="82"/>
      <c r="G7" s="82" t="s">
        <v>407</v>
      </c>
      <c r="H7" s="82"/>
      <c r="I7" s="82"/>
      <c r="J7" s="82"/>
      <c r="K7" s="82"/>
    </row>
    <row r="8" spans="1:11">
      <c r="A8" s="81"/>
      <c r="B8" t="s">
        <v>414</v>
      </c>
      <c r="C8" t="s">
        <v>408</v>
      </c>
      <c r="D8" s="82" t="s">
        <v>422</v>
      </c>
      <c r="E8" s="82"/>
      <c r="F8" s="82"/>
      <c r="G8" s="82" t="s">
        <v>409</v>
      </c>
      <c r="H8" s="82"/>
      <c r="I8" s="82"/>
      <c r="J8" s="82"/>
      <c r="K8" s="82"/>
    </row>
    <row r="9" spans="1:11">
      <c r="A9" s="81"/>
      <c r="B9" t="s">
        <v>413</v>
      </c>
      <c r="C9" t="s">
        <v>410</v>
      </c>
      <c r="D9" s="82" t="s">
        <v>423</v>
      </c>
      <c r="E9" s="82"/>
      <c r="F9" s="82"/>
      <c r="G9" s="82" t="s">
        <v>411</v>
      </c>
      <c r="H9" s="82"/>
      <c r="I9" s="82"/>
      <c r="J9" s="82"/>
      <c r="K9" s="82"/>
    </row>
    <row r="10" spans="1:11">
      <c r="A10" s="81"/>
      <c r="B10" t="s">
        <v>412</v>
      </c>
      <c r="C10" t="s">
        <v>4</v>
      </c>
      <c r="D10" s="82" t="s">
        <v>415</v>
      </c>
      <c r="E10" s="82"/>
      <c r="F10" s="82"/>
      <c r="G10" s="82" t="s">
        <v>424</v>
      </c>
      <c r="H10" s="82"/>
      <c r="I10" s="82"/>
      <c r="J10" s="82"/>
      <c r="K10" s="82"/>
    </row>
    <row r="11" spans="1:11">
      <c r="A11" s="81"/>
      <c r="B11" t="s">
        <v>425</v>
      </c>
      <c r="C11" t="s">
        <v>426</v>
      </c>
      <c r="D11" s="82" t="s">
        <v>427</v>
      </c>
      <c r="E11" s="82"/>
      <c r="F11" s="82"/>
      <c r="G11" s="82" t="s">
        <v>428</v>
      </c>
      <c r="H11" s="82"/>
      <c r="I11" s="82"/>
      <c r="J11" s="82"/>
      <c r="K11" s="82"/>
    </row>
    <row r="12" spans="1:11">
      <c r="A12" s="81"/>
      <c r="B12" t="s">
        <v>429</v>
      </c>
      <c r="C12" t="s">
        <v>430</v>
      </c>
      <c r="D12" s="82" t="s">
        <v>431</v>
      </c>
      <c r="E12" s="82"/>
      <c r="F12" s="82"/>
      <c r="G12" s="82" t="s">
        <v>432</v>
      </c>
      <c r="H12" s="82"/>
      <c r="I12" s="82"/>
      <c r="J12" s="82"/>
      <c r="K12" s="82"/>
    </row>
    <row r="13" spans="1:11">
      <c r="A13" s="81"/>
      <c r="B13" t="s">
        <v>433</v>
      </c>
      <c r="C13" t="s">
        <v>434</v>
      </c>
      <c r="D13" s="82" t="s">
        <v>435</v>
      </c>
      <c r="E13" s="82"/>
      <c r="F13" s="82"/>
      <c r="G13" s="82" t="s">
        <v>436</v>
      </c>
      <c r="H13" s="82"/>
      <c r="I13" s="82"/>
      <c r="J13" s="82"/>
      <c r="K13" s="82"/>
    </row>
    <row r="14" spans="1:11">
      <c r="A14" s="81"/>
      <c r="B14" t="s">
        <v>437</v>
      </c>
      <c r="C14" t="s">
        <v>3</v>
      </c>
      <c r="D14" s="82" t="s">
        <v>438</v>
      </c>
      <c r="E14" s="82"/>
      <c r="F14" s="82"/>
      <c r="G14" s="82" t="s">
        <v>439</v>
      </c>
      <c r="H14" s="82"/>
      <c r="I14" s="82"/>
      <c r="J14" s="82"/>
      <c r="K14" s="82"/>
    </row>
    <row r="15" spans="1:11">
      <c r="A15" s="17"/>
      <c r="D15" s="82"/>
      <c r="E15" s="82"/>
      <c r="F15" s="82"/>
      <c r="G15" s="82"/>
      <c r="H15" s="82"/>
      <c r="I15" s="82"/>
      <c r="J15" s="82"/>
      <c r="K15" s="82"/>
    </row>
    <row r="17" spans="1:3">
      <c r="A17" s="38" t="s">
        <v>5</v>
      </c>
      <c r="B17" s="39"/>
      <c r="C17" s="39"/>
    </row>
    <row r="18" spans="1:3">
      <c r="A18" s="39" t="s">
        <v>11</v>
      </c>
      <c r="B18" s="39" t="s">
        <v>6</v>
      </c>
      <c r="C18" s="39" t="s">
        <v>8</v>
      </c>
    </row>
    <row r="19" spans="1:3">
      <c r="A19" s="39"/>
      <c r="B19" s="39" t="s">
        <v>7</v>
      </c>
      <c r="C19" s="39"/>
    </row>
    <row r="20" spans="1:3">
      <c r="A20" s="39" t="s">
        <v>10</v>
      </c>
      <c r="B20" s="39" t="s">
        <v>9</v>
      </c>
      <c r="C20" s="39"/>
    </row>
  </sheetData>
  <mergeCells count="30">
    <mergeCell ref="G2:K2"/>
    <mergeCell ref="A1:K1"/>
    <mergeCell ref="D2:F2"/>
    <mergeCell ref="D3:F3"/>
    <mergeCell ref="D4:F4"/>
    <mergeCell ref="A3:A14"/>
    <mergeCell ref="G10:K10"/>
    <mergeCell ref="D11:F11"/>
    <mergeCell ref="D13:F13"/>
    <mergeCell ref="D14:F14"/>
    <mergeCell ref="G3:K3"/>
    <mergeCell ref="G4:K4"/>
    <mergeCell ref="G5:K5"/>
    <mergeCell ref="G6:K6"/>
    <mergeCell ref="G7:K7"/>
    <mergeCell ref="D5:F5"/>
    <mergeCell ref="D6:F6"/>
    <mergeCell ref="D7:F7"/>
    <mergeCell ref="G15:K15"/>
    <mergeCell ref="D12:F12"/>
    <mergeCell ref="G12:K12"/>
    <mergeCell ref="D15:F15"/>
    <mergeCell ref="D8:F8"/>
    <mergeCell ref="D9:F9"/>
    <mergeCell ref="G11:K11"/>
    <mergeCell ref="G13:K13"/>
    <mergeCell ref="G14:K14"/>
    <mergeCell ref="G8:K8"/>
    <mergeCell ref="G9:K9"/>
    <mergeCell ref="D10:F10"/>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62386-6B35-48E0-A018-D511D929EC80}">
  <dimension ref="A1:P40"/>
  <sheetViews>
    <sheetView topLeftCell="A16" workbookViewId="0">
      <selection activeCell="M18" sqref="M18:P21"/>
    </sheetView>
  </sheetViews>
  <sheetFormatPr defaultRowHeight="16.5"/>
  <cols>
    <col min="1" max="1" width="26.125" bestFit="1" customWidth="1"/>
    <col min="2" max="2" width="20.25" customWidth="1"/>
    <col min="3" max="3" width="23.25" bestFit="1" customWidth="1"/>
  </cols>
  <sheetData>
    <row r="1" spans="1:16">
      <c r="A1" s="71" t="s">
        <v>449</v>
      </c>
      <c r="B1" s="71"/>
      <c r="C1" s="71"/>
      <c r="D1" s="71"/>
      <c r="E1" s="71"/>
      <c r="F1" s="71"/>
      <c r="G1" s="71"/>
      <c r="H1" s="71"/>
      <c r="I1" s="71"/>
      <c r="J1" s="71"/>
      <c r="K1" s="71"/>
      <c r="L1" s="71"/>
      <c r="M1" s="71"/>
    </row>
    <row r="2" spans="1:16">
      <c r="A2" s="71"/>
      <c r="B2" s="71"/>
      <c r="C2" s="71"/>
      <c r="D2" s="71"/>
      <c r="E2" s="71"/>
      <c r="F2" s="71"/>
      <c r="G2" s="71"/>
      <c r="H2" s="71"/>
      <c r="I2" s="71"/>
      <c r="J2" s="71"/>
      <c r="K2" s="71"/>
      <c r="L2" s="71"/>
      <c r="M2" s="71"/>
    </row>
    <row r="3" spans="1:16">
      <c r="A3" s="16" t="s">
        <v>416</v>
      </c>
      <c r="B3" s="16" t="s">
        <v>451</v>
      </c>
      <c r="C3" s="71" t="s">
        <v>452</v>
      </c>
      <c r="D3" s="71"/>
      <c r="E3" s="71"/>
      <c r="F3" s="71" t="s">
        <v>201</v>
      </c>
      <c r="G3" s="71"/>
      <c r="H3" s="71"/>
      <c r="I3" s="71"/>
      <c r="J3" s="71" t="s">
        <v>453</v>
      </c>
      <c r="K3" s="71"/>
      <c r="L3" s="71"/>
      <c r="M3" s="71"/>
      <c r="N3" s="71"/>
      <c r="O3" s="71"/>
      <c r="P3" s="71"/>
    </row>
    <row r="4" spans="1:16">
      <c r="A4" s="71" t="s">
        <v>12</v>
      </c>
      <c r="B4" t="s">
        <v>440</v>
      </c>
      <c r="C4" s="82" t="s">
        <v>450</v>
      </c>
      <c r="D4" s="82"/>
      <c r="E4" s="82"/>
      <c r="F4" s="82" t="s">
        <v>455</v>
      </c>
      <c r="G4" s="82"/>
      <c r="H4" s="82"/>
      <c r="I4" s="82"/>
      <c r="J4" s="71" t="s">
        <v>454</v>
      </c>
      <c r="K4" s="71"/>
      <c r="L4" s="71"/>
      <c r="M4" s="81" t="s">
        <v>468</v>
      </c>
      <c r="N4" s="71"/>
      <c r="O4" s="71"/>
      <c r="P4" s="71"/>
    </row>
    <row r="5" spans="1:16">
      <c r="A5" s="71"/>
      <c r="B5" t="s">
        <v>441</v>
      </c>
      <c r="C5" s="82" t="s">
        <v>15</v>
      </c>
      <c r="D5" s="82"/>
      <c r="E5" s="82"/>
      <c r="F5" s="82" t="s">
        <v>456</v>
      </c>
      <c r="G5" s="82"/>
      <c r="H5" s="82"/>
      <c r="I5" s="82"/>
      <c r="J5" s="71"/>
      <c r="K5" s="71"/>
      <c r="L5" s="71"/>
      <c r="M5" s="71"/>
      <c r="N5" s="71"/>
      <c r="O5" s="71"/>
      <c r="P5" s="71"/>
    </row>
    <row r="6" spans="1:16">
      <c r="A6" s="71"/>
      <c r="B6" t="s">
        <v>442</v>
      </c>
      <c r="C6" s="82" t="s">
        <v>445</v>
      </c>
      <c r="D6" s="82"/>
      <c r="E6" s="82"/>
      <c r="F6" s="82" t="s">
        <v>457</v>
      </c>
      <c r="G6" s="82"/>
      <c r="H6" s="82"/>
      <c r="I6" s="82"/>
      <c r="J6" s="71"/>
      <c r="K6" s="71"/>
      <c r="L6" s="71"/>
      <c r="M6" s="71"/>
      <c r="N6" s="71"/>
      <c r="O6" s="71"/>
      <c r="P6" s="71"/>
    </row>
    <row r="7" spans="1:16">
      <c r="A7" s="71"/>
      <c r="B7" t="s">
        <v>443</v>
      </c>
      <c r="C7" s="82" t="s">
        <v>448</v>
      </c>
      <c r="D7" s="82"/>
      <c r="E7" s="82"/>
      <c r="F7" s="82" t="s">
        <v>458</v>
      </c>
      <c r="G7" s="82"/>
      <c r="H7" s="82"/>
      <c r="I7" s="82"/>
      <c r="J7" s="71"/>
      <c r="K7" s="71"/>
      <c r="L7" s="71"/>
      <c r="M7" s="71"/>
      <c r="N7" s="71"/>
      <c r="O7" s="71"/>
      <c r="P7" s="71"/>
    </row>
    <row r="8" spans="1:16">
      <c r="A8" s="71"/>
      <c r="B8" t="s">
        <v>444</v>
      </c>
      <c r="C8" s="82" t="s">
        <v>297</v>
      </c>
      <c r="D8" s="82"/>
      <c r="E8" s="82"/>
      <c r="F8" s="82" t="s">
        <v>459</v>
      </c>
      <c r="G8" s="82"/>
      <c r="H8" s="82"/>
      <c r="I8" s="82"/>
      <c r="J8" s="71"/>
      <c r="K8" s="71"/>
      <c r="L8" s="71"/>
      <c r="M8" s="71"/>
      <c r="N8" s="71"/>
      <c r="O8" s="71"/>
      <c r="P8" s="71"/>
    </row>
    <row r="9" spans="1:16">
      <c r="A9" s="71"/>
      <c r="B9" t="s">
        <v>460</v>
      </c>
      <c r="C9" s="82" t="s">
        <v>461</v>
      </c>
      <c r="D9" s="82"/>
      <c r="E9" s="82"/>
      <c r="F9" s="82" t="s">
        <v>462</v>
      </c>
      <c r="G9" s="82"/>
      <c r="H9" s="82"/>
      <c r="I9" s="82"/>
      <c r="J9" s="71"/>
      <c r="K9" s="71"/>
      <c r="L9" s="71"/>
      <c r="M9" s="71"/>
      <c r="N9" s="71"/>
      <c r="O9" s="71"/>
      <c r="P9" s="71"/>
    </row>
    <row r="10" spans="1:16">
      <c r="A10" s="71" t="s">
        <v>19</v>
      </c>
      <c r="B10" t="s">
        <v>464</v>
      </c>
      <c r="C10" s="82" t="s">
        <v>465</v>
      </c>
      <c r="D10" s="82"/>
      <c r="E10" s="82"/>
      <c r="F10" s="71"/>
      <c r="G10" s="71"/>
      <c r="H10" s="71"/>
      <c r="I10" s="71"/>
      <c r="J10" s="71" t="s">
        <v>463</v>
      </c>
      <c r="K10" s="71"/>
      <c r="L10" s="71"/>
      <c r="M10" s="71"/>
      <c r="N10" s="71"/>
      <c r="O10" s="71"/>
      <c r="P10" s="71"/>
    </row>
    <row r="11" spans="1:16">
      <c r="A11" s="71"/>
      <c r="B11" t="s">
        <v>16</v>
      </c>
      <c r="C11" s="82" t="s">
        <v>313</v>
      </c>
      <c r="D11" s="82"/>
      <c r="E11" s="82"/>
      <c r="F11" s="71"/>
      <c r="G11" s="71"/>
      <c r="H11" s="71"/>
      <c r="I11" s="71"/>
      <c r="J11" s="71"/>
      <c r="K11" s="71"/>
      <c r="L11" s="71"/>
      <c r="M11" s="71"/>
      <c r="N11" s="71"/>
      <c r="O11" s="71"/>
      <c r="P11" s="71"/>
    </row>
    <row r="12" spans="1:16">
      <c r="A12" s="71"/>
      <c r="B12" t="s">
        <v>17</v>
      </c>
      <c r="C12" s="82" t="s">
        <v>313</v>
      </c>
      <c r="D12" s="82"/>
      <c r="E12" s="82"/>
      <c r="F12" s="71"/>
      <c r="G12" s="71"/>
      <c r="H12" s="71"/>
      <c r="I12" s="71"/>
      <c r="J12" s="71"/>
      <c r="K12" s="71"/>
      <c r="L12" s="71"/>
      <c r="M12" s="71"/>
      <c r="N12" s="71"/>
      <c r="O12" s="71"/>
      <c r="P12" s="71"/>
    </row>
    <row r="13" spans="1:16">
      <c r="A13" s="71"/>
      <c r="B13" t="s">
        <v>18</v>
      </c>
      <c r="C13" s="82" t="s">
        <v>466</v>
      </c>
      <c r="D13" s="82"/>
      <c r="E13" s="82"/>
      <c r="F13" s="71" t="s">
        <v>467</v>
      </c>
      <c r="G13" s="71"/>
      <c r="H13" s="71"/>
      <c r="I13" s="71"/>
      <c r="J13" s="71"/>
      <c r="K13" s="71"/>
      <c r="L13" s="71"/>
      <c r="M13" s="71"/>
      <c r="N13" s="71"/>
      <c r="O13" s="71"/>
      <c r="P13" s="71"/>
    </row>
    <row r="14" spans="1:16">
      <c r="A14" s="71" t="s">
        <v>20</v>
      </c>
      <c r="B14" t="s">
        <v>470</v>
      </c>
      <c r="C14" s="82" t="s">
        <v>476</v>
      </c>
      <c r="D14" s="82"/>
      <c r="E14" s="82"/>
      <c r="F14" s="71" t="s">
        <v>477</v>
      </c>
      <c r="G14" s="71"/>
      <c r="H14" s="71"/>
      <c r="I14" s="71"/>
      <c r="J14" s="71" t="s">
        <v>469</v>
      </c>
      <c r="K14" s="71"/>
      <c r="L14" s="71"/>
      <c r="M14" s="81" t="s">
        <v>475</v>
      </c>
      <c r="N14" s="71"/>
      <c r="O14" s="71"/>
      <c r="P14" s="71"/>
    </row>
    <row r="15" spans="1:16">
      <c r="A15" s="71"/>
      <c r="B15" t="s">
        <v>22</v>
      </c>
      <c r="C15" s="82" t="s">
        <v>471</v>
      </c>
      <c r="D15" s="82"/>
      <c r="E15" s="82"/>
      <c r="F15" s="71" t="s">
        <v>478</v>
      </c>
      <c r="G15" s="71"/>
      <c r="H15" s="71"/>
      <c r="I15" s="71"/>
      <c r="J15" s="71"/>
      <c r="K15" s="71"/>
      <c r="L15" s="71"/>
      <c r="M15" s="71"/>
      <c r="N15" s="71"/>
      <c r="O15" s="71"/>
      <c r="P15" s="71"/>
    </row>
    <row r="16" spans="1:16">
      <c r="A16" s="71"/>
      <c r="B16" t="s">
        <v>23</v>
      </c>
      <c r="C16" s="82" t="s">
        <v>474</v>
      </c>
      <c r="D16" s="82"/>
      <c r="E16" s="82"/>
      <c r="F16" s="71" t="s">
        <v>472</v>
      </c>
      <c r="G16" s="71"/>
      <c r="H16" s="71"/>
      <c r="I16" s="71"/>
      <c r="J16" s="71"/>
      <c r="K16" s="71"/>
      <c r="L16" s="71"/>
      <c r="M16" s="71"/>
      <c r="N16" s="71"/>
      <c r="O16" s="71"/>
      <c r="P16" s="71"/>
    </row>
    <row r="17" spans="1:16">
      <c r="A17" s="71"/>
      <c r="B17" t="s">
        <v>21</v>
      </c>
      <c r="C17" s="82" t="s">
        <v>479</v>
      </c>
      <c r="D17" s="82"/>
      <c r="E17" s="82"/>
      <c r="F17" s="71" t="s">
        <v>473</v>
      </c>
      <c r="G17" s="71"/>
      <c r="H17" s="71"/>
      <c r="I17" s="71"/>
      <c r="J17" s="71"/>
      <c r="K17" s="71"/>
      <c r="L17" s="71"/>
      <c r="M17" s="71"/>
      <c r="N17" s="71"/>
      <c r="O17" s="71"/>
      <c r="P17" s="71"/>
    </row>
    <row r="18" spans="1:16">
      <c r="A18" s="71" t="s">
        <v>24</v>
      </c>
      <c r="B18" s="81" t="s">
        <v>480</v>
      </c>
      <c r="C18" s="82"/>
      <c r="D18" s="82"/>
      <c r="E18" s="82"/>
      <c r="F18" s="81" t="s">
        <v>482</v>
      </c>
      <c r="G18" s="71"/>
      <c r="H18" s="71"/>
      <c r="I18" s="71"/>
      <c r="J18" s="82"/>
      <c r="K18" s="82"/>
      <c r="L18" s="82"/>
      <c r="M18" s="82"/>
      <c r="N18" s="82"/>
      <c r="O18" s="82"/>
      <c r="P18" s="82"/>
    </row>
    <row r="19" spans="1:16">
      <c r="A19" s="71"/>
      <c r="B19" s="71"/>
      <c r="C19" s="82"/>
      <c r="D19" s="82"/>
      <c r="E19" s="82"/>
      <c r="F19" s="71"/>
      <c r="G19" s="71"/>
      <c r="H19" s="71"/>
      <c r="I19" s="71"/>
      <c r="J19" s="82"/>
      <c r="K19" s="82"/>
      <c r="L19" s="82"/>
      <c r="M19" s="82"/>
      <c r="N19" s="82"/>
      <c r="O19" s="82"/>
      <c r="P19" s="82"/>
    </row>
    <row r="20" spans="1:16">
      <c r="A20" s="71"/>
      <c r="B20" s="71"/>
      <c r="C20" s="82"/>
      <c r="D20" s="82"/>
      <c r="E20" s="82"/>
      <c r="F20" s="71"/>
      <c r="G20" s="71"/>
      <c r="H20" s="71"/>
      <c r="I20" s="71"/>
      <c r="J20" s="82"/>
      <c r="K20" s="82"/>
      <c r="L20" s="82"/>
      <c r="M20" s="82"/>
      <c r="N20" s="82"/>
      <c r="O20" s="82"/>
      <c r="P20" s="82"/>
    </row>
    <row r="21" spans="1:16">
      <c r="A21" s="71"/>
      <c r="B21" s="71"/>
      <c r="C21" s="82"/>
      <c r="D21" s="82"/>
      <c r="E21" s="82"/>
      <c r="F21" s="71"/>
      <c r="G21" s="71"/>
      <c r="H21" s="71"/>
      <c r="I21" s="71"/>
      <c r="J21" s="82"/>
      <c r="K21" s="82"/>
      <c r="L21" s="82"/>
      <c r="M21" s="82"/>
      <c r="N21" s="82"/>
      <c r="O21" s="82"/>
      <c r="P21" s="82"/>
    </row>
    <row r="22" spans="1:16">
      <c r="F22" s="71"/>
      <c r="G22" s="71"/>
      <c r="H22" s="71"/>
      <c r="I22" s="71"/>
    </row>
    <row r="23" spans="1:16">
      <c r="F23" s="71"/>
      <c r="G23" s="71"/>
      <c r="H23" s="71"/>
      <c r="I23" s="71"/>
    </row>
    <row r="24" spans="1:16">
      <c r="F24" s="71"/>
      <c r="G24" s="71"/>
      <c r="H24" s="71"/>
      <c r="I24" s="71"/>
    </row>
    <row r="25" spans="1:16">
      <c r="F25" s="71"/>
      <c r="G25" s="71"/>
      <c r="H25" s="71"/>
      <c r="I25" s="71"/>
    </row>
    <row r="26" spans="1:16">
      <c r="A26" t="s">
        <v>35</v>
      </c>
      <c r="B26" t="s">
        <v>36</v>
      </c>
      <c r="F26" s="71"/>
      <c r="G26" s="71"/>
      <c r="H26" s="71"/>
      <c r="I26" s="71"/>
    </row>
    <row r="27" spans="1:16">
      <c r="A27" t="s">
        <v>37</v>
      </c>
      <c r="B27" t="s">
        <v>38</v>
      </c>
      <c r="F27" s="71"/>
      <c r="G27" s="71"/>
      <c r="H27" s="71"/>
      <c r="I27" s="71"/>
    </row>
    <row r="29" spans="1:16">
      <c r="K29" t="s">
        <v>446</v>
      </c>
      <c r="L29" s="40" t="s">
        <v>447</v>
      </c>
      <c r="M29" s="82" t="s">
        <v>13</v>
      </c>
      <c r="N29" s="82"/>
      <c r="O29" s="82"/>
    </row>
    <row r="31" spans="1:16">
      <c r="L31" t="s">
        <v>14</v>
      </c>
    </row>
    <row r="34" spans="3:12">
      <c r="K34" t="s">
        <v>25</v>
      </c>
      <c r="L34" t="s">
        <v>26</v>
      </c>
    </row>
    <row r="35" spans="3:12">
      <c r="K35" t="s">
        <v>27</v>
      </c>
      <c r="L35" t="s">
        <v>28</v>
      </c>
    </row>
    <row r="37" spans="3:12">
      <c r="C37" s="1" t="s">
        <v>25</v>
      </c>
      <c r="D37" s="1" t="s">
        <v>29</v>
      </c>
    </row>
    <row r="38" spans="3:12">
      <c r="C38" s="1" t="s">
        <v>481</v>
      </c>
      <c r="D38" s="1" t="s">
        <v>30</v>
      </c>
    </row>
    <row r="39" spans="3:12">
      <c r="C39" s="1" t="s">
        <v>31</v>
      </c>
      <c r="D39" s="1" t="s">
        <v>32</v>
      </c>
    </row>
    <row r="40" spans="3:12">
      <c r="C40" s="1" t="s">
        <v>33</v>
      </c>
      <c r="D40" s="1" t="s">
        <v>34</v>
      </c>
    </row>
  </sheetData>
  <mergeCells count="55">
    <mergeCell ref="J18:L21"/>
    <mergeCell ref="M18:P21"/>
    <mergeCell ref="F18:I21"/>
    <mergeCell ref="F24:I24"/>
    <mergeCell ref="F25:I25"/>
    <mergeCell ref="F26:I26"/>
    <mergeCell ref="A18:A21"/>
    <mergeCell ref="B18:B21"/>
    <mergeCell ref="C18:E21"/>
    <mergeCell ref="A10:A13"/>
    <mergeCell ref="J14:L17"/>
    <mergeCell ref="A14:A17"/>
    <mergeCell ref="M14:P17"/>
    <mergeCell ref="C14:E14"/>
    <mergeCell ref="C15:E15"/>
    <mergeCell ref="C10:E10"/>
    <mergeCell ref="C11:E11"/>
    <mergeCell ref="C12:E12"/>
    <mergeCell ref="C13:E13"/>
    <mergeCell ref="F10:I10"/>
    <mergeCell ref="C16:E16"/>
    <mergeCell ref="C17:E17"/>
    <mergeCell ref="F14:I14"/>
    <mergeCell ref="F15:I15"/>
    <mergeCell ref="F16:I16"/>
    <mergeCell ref="F11:I11"/>
    <mergeCell ref="F12:I12"/>
    <mergeCell ref="F13:I13"/>
    <mergeCell ref="M29:O29"/>
    <mergeCell ref="C8:E8"/>
    <mergeCell ref="F8:I8"/>
    <mergeCell ref="M4:P9"/>
    <mergeCell ref="J4:L9"/>
    <mergeCell ref="J10:L13"/>
    <mergeCell ref="M10:P13"/>
    <mergeCell ref="F9:I9"/>
    <mergeCell ref="C9:E9"/>
    <mergeCell ref="F27:I27"/>
    <mergeCell ref="F17:I17"/>
    <mergeCell ref="F22:I22"/>
    <mergeCell ref="F23:I23"/>
    <mergeCell ref="A1:M2"/>
    <mergeCell ref="C4:E4"/>
    <mergeCell ref="C5:E5"/>
    <mergeCell ref="C6:E6"/>
    <mergeCell ref="C7:E7"/>
    <mergeCell ref="C3:E3"/>
    <mergeCell ref="F4:I4"/>
    <mergeCell ref="F5:I5"/>
    <mergeCell ref="F6:I6"/>
    <mergeCell ref="F7:I7"/>
    <mergeCell ref="F3:I3"/>
    <mergeCell ref="J3:L3"/>
    <mergeCell ref="M3:P3"/>
    <mergeCell ref="A4:A9"/>
  </mergeCells>
  <phoneticPr fontId="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1"/>
  <sheetViews>
    <sheetView topLeftCell="A10" workbookViewId="0">
      <selection activeCell="E40" sqref="E40"/>
    </sheetView>
  </sheetViews>
  <sheetFormatPr defaultRowHeight="16.5"/>
  <cols>
    <col min="1" max="1" width="18.625" bestFit="1" customWidth="1"/>
    <col min="2" max="2" width="18.625" customWidth="1"/>
    <col min="3" max="3" width="19.875" bestFit="1" customWidth="1"/>
    <col min="4" max="4" width="14" bestFit="1" customWidth="1"/>
  </cols>
  <sheetData>
    <row r="1" spans="1:15">
      <c r="A1" s="71" t="s">
        <v>488</v>
      </c>
      <c r="B1" s="71"/>
      <c r="C1" s="71"/>
      <c r="D1" s="71"/>
      <c r="E1" s="71"/>
      <c r="F1" s="71"/>
      <c r="G1" s="71"/>
      <c r="H1" s="71"/>
      <c r="I1" s="71"/>
      <c r="J1" s="71"/>
      <c r="K1" s="71"/>
      <c r="L1" s="71"/>
      <c r="M1" s="71"/>
      <c r="N1" s="71"/>
      <c r="O1" s="71"/>
    </row>
    <row r="2" spans="1:15">
      <c r="A2" s="71"/>
      <c r="B2" s="71"/>
      <c r="C2" s="71"/>
      <c r="D2" s="71"/>
      <c r="E2" s="71"/>
      <c r="F2" s="71"/>
      <c r="G2" s="71"/>
      <c r="H2" s="71"/>
      <c r="I2" s="71"/>
      <c r="J2" s="71"/>
      <c r="K2" s="71"/>
      <c r="L2" s="71"/>
      <c r="M2" s="71"/>
      <c r="N2" s="71"/>
      <c r="O2" s="71"/>
    </row>
    <row r="3" spans="1:15">
      <c r="A3" s="82" t="s">
        <v>489</v>
      </c>
      <c r="B3" s="82"/>
      <c r="C3" s="18" t="s">
        <v>490</v>
      </c>
      <c r="D3" s="18" t="s">
        <v>491</v>
      </c>
      <c r="E3" s="82" t="s">
        <v>493</v>
      </c>
      <c r="F3" s="82"/>
      <c r="G3" s="82"/>
      <c r="H3" s="82"/>
      <c r="I3" s="82"/>
      <c r="J3" s="18"/>
      <c r="K3" s="18"/>
      <c r="L3" s="18"/>
      <c r="M3" s="18"/>
      <c r="N3" s="18"/>
      <c r="O3" s="18"/>
    </row>
    <row r="4" spans="1:15">
      <c r="A4" s="71" t="s">
        <v>492</v>
      </c>
      <c r="B4" s="71"/>
      <c r="C4" s="71" t="s">
        <v>39</v>
      </c>
      <c r="D4" s="71" t="s">
        <v>495</v>
      </c>
      <c r="E4" s="81" t="s">
        <v>504</v>
      </c>
      <c r="F4" s="71"/>
      <c r="G4" s="71"/>
      <c r="H4" s="71"/>
      <c r="I4" s="71"/>
    </row>
    <row r="5" spans="1:15">
      <c r="A5" s="71"/>
      <c r="B5" s="71"/>
      <c r="C5" s="71"/>
      <c r="D5" s="71"/>
      <c r="E5" s="71"/>
      <c r="F5" s="71"/>
      <c r="G5" s="71"/>
      <c r="H5" s="71"/>
      <c r="I5" s="71"/>
    </row>
    <row r="6" spans="1:15">
      <c r="A6" s="71" t="s">
        <v>40</v>
      </c>
      <c r="B6" s="71"/>
      <c r="C6" s="71" t="s">
        <v>494</v>
      </c>
      <c r="D6" s="71" t="s">
        <v>45</v>
      </c>
      <c r="E6" s="81" t="s">
        <v>499</v>
      </c>
      <c r="F6" s="71"/>
      <c r="G6" s="71"/>
      <c r="H6" s="71"/>
      <c r="I6" s="71"/>
    </row>
    <row r="7" spans="1:15">
      <c r="A7" s="71"/>
      <c r="B7" s="71"/>
      <c r="C7" s="71"/>
      <c r="D7" s="71"/>
      <c r="E7" s="71"/>
      <c r="F7" s="71"/>
      <c r="G7" s="71"/>
      <c r="H7" s="71"/>
      <c r="I7" s="71"/>
    </row>
    <row r="8" spans="1:15">
      <c r="A8" s="71" t="s">
        <v>41</v>
      </c>
      <c r="B8" s="71"/>
      <c r="C8" s="71" t="s">
        <v>42</v>
      </c>
      <c r="D8" s="71" t="s">
        <v>496</v>
      </c>
      <c r="E8" s="71" t="s">
        <v>497</v>
      </c>
      <c r="F8" s="71"/>
      <c r="G8" s="71"/>
      <c r="H8" s="71"/>
      <c r="I8" s="71"/>
    </row>
    <row r="9" spans="1:15">
      <c r="A9" s="71"/>
      <c r="B9" s="71"/>
      <c r="C9" s="71"/>
      <c r="D9" s="71"/>
      <c r="E9" s="71"/>
      <c r="F9" s="71"/>
      <c r="G9" s="71"/>
      <c r="H9" s="71"/>
      <c r="I9" s="71"/>
    </row>
    <row r="10" spans="1:15">
      <c r="A10" s="71" t="s">
        <v>43</v>
      </c>
      <c r="B10" s="71"/>
      <c r="C10" s="71" t="s">
        <v>44</v>
      </c>
      <c r="D10" s="71" t="s">
        <v>498</v>
      </c>
      <c r="E10" s="81" t="s">
        <v>500</v>
      </c>
      <c r="F10" s="71"/>
      <c r="G10" s="71"/>
      <c r="H10" s="71"/>
      <c r="I10" s="71"/>
    </row>
    <row r="11" spans="1:15">
      <c r="A11" s="71"/>
      <c r="B11" s="71"/>
      <c r="C11" s="71"/>
      <c r="D11" s="71"/>
      <c r="E11" s="71"/>
      <c r="F11" s="71"/>
      <c r="G11" s="71"/>
      <c r="H11" s="71"/>
      <c r="I11" s="71"/>
    </row>
    <row r="12" spans="1:15">
      <c r="A12" s="82" t="s">
        <v>501</v>
      </c>
      <c r="B12" s="82"/>
      <c r="C12" s="16">
        <v>20</v>
      </c>
      <c r="D12" t="s">
        <v>503</v>
      </c>
      <c r="E12" s="82" t="s">
        <v>502</v>
      </c>
      <c r="F12" s="82"/>
      <c r="G12" s="82"/>
      <c r="H12" s="82"/>
      <c r="I12" s="82"/>
    </row>
    <row r="13" spans="1:15">
      <c r="A13" s="71" t="s">
        <v>505</v>
      </c>
      <c r="B13" s="71"/>
      <c r="C13" s="71" t="s">
        <v>46</v>
      </c>
      <c r="D13" s="82"/>
      <c r="E13" s="82"/>
      <c r="F13" s="82"/>
      <c r="G13" s="82"/>
      <c r="H13" s="82"/>
      <c r="I13" s="82"/>
    </row>
    <row r="14" spans="1:15">
      <c r="A14" s="71"/>
      <c r="B14" s="71"/>
      <c r="C14" s="71"/>
      <c r="D14" s="82"/>
      <c r="E14" s="82"/>
      <c r="F14" s="82"/>
      <c r="G14" s="82"/>
      <c r="H14" s="82"/>
      <c r="I14" s="82"/>
    </row>
    <row r="15" spans="1:15">
      <c r="A15" t="s">
        <v>47</v>
      </c>
      <c r="C15" t="s">
        <v>506</v>
      </c>
      <c r="D15">
        <v>0.5</v>
      </c>
    </row>
    <row r="16" spans="1:15">
      <c r="A16" t="s">
        <v>48</v>
      </c>
      <c r="C16" t="s">
        <v>49</v>
      </c>
    </row>
    <row r="17" spans="1:4">
      <c r="A17" t="s">
        <v>50</v>
      </c>
      <c r="C17" t="s">
        <v>51</v>
      </c>
    </row>
    <row r="18" spans="1:4">
      <c r="A18" t="s">
        <v>52</v>
      </c>
      <c r="C18">
        <v>17</v>
      </c>
    </row>
    <row r="19" spans="1:4">
      <c r="A19" t="s">
        <v>53</v>
      </c>
      <c r="C19">
        <v>28</v>
      </c>
    </row>
    <row r="22" spans="1:4">
      <c r="A22" t="s">
        <v>512</v>
      </c>
      <c r="B22" t="s">
        <v>519</v>
      </c>
    </row>
    <row r="23" spans="1:4">
      <c r="A23" s="1" t="s">
        <v>487</v>
      </c>
      <c r="B23" s="1" t="s">
        <v>54</v>
      </c>
    </row>
    <row r="24" spans="1:4">
      <c r="A24" s="1" t="s">
        <v>521</v>
      </c>
      <c r="B24" s="1" t="s">
        <v>520</v>
      </c>
      <c r="C24" t="s">
        <v>522</v>
      </c>
      <c r="D24" s="41"/>
    </row>
    <row r="25" spans="1:4">
      <c r="A25" s="1" t="s">
        <v>517</v>
      </c>
      <c r="B25" s="1" t="s">
        <v>55</v>
      </c>
    </row>
    <row r="26" spans="1:4">
      <c r="A26" s="1" t="s">
        <v>56</v>
      </c>
      <c r="B26" s="1" t="s">
        <v>57</v>
      </c>
    </row>
    <row r="27" spans="1:4">
      <c r="A27" s="1" t="s">
        <v>516</v>
      </c>
      <c r="B27" s="1">
        <v>60000</v>
      </c>
    </row>
    <row r="28" spans="1:4">
      <c r="A28" s="1" t="s">
        <v>515</v>
      </c>
      <c r="B28" s="1">
        <v>81</v>
      </c>
    </row>
    <row r="29" spans="1:4">
      <c r="A29" s="1" t="s">
        <v>514</v>
      </c>
      <c r="B29" s="1" t="s">
        <v>518</v>
      </c>
    </row>
    <row r="30" spans="1:4">
      <c r="A30" s="1" t="s">
        <v>513</v>
      </c>
      <c r="B30" s="1">
        <v>1.2345680000000001</v>
      </c>
    </row>
    <row r="31" spans="1:4">
      <c r="A31" s="1" t="s">
        <v>58</v>
      </c>
      <c r="B31" s="1" t="s">
        <v>59</v>
      </c>
    </row>
    <row r="32" spans="1:4">
      <c r="A32" s="1" t="s">
        <v>39</v>
      </c>
      <c r="B32" s="1" t="s">
        <v>60</v>
      </c>
    </row>
    <row r="33" spans="1:15">
      <c r="A33" s="1" t="s">
        <v>61</v>
      </c>
      <c r="B33" s="1" t="s">
        <v>1</v>
      </c>
    </row>
    <row r="34" spans="1:15">
      <c r="A34" s="1" t="s">
        <v>62</v>
      </c>
      <c r="B34" s="1" t="s">
        <v>63</v>
      </c>
    </row>
    <row r="36" spans="1:15">
      <c r="A36" t="s">
        <v>64</v>
      </c>
    </row>
    <row r="37" spans="1:15">
      <c r="A37" t="s">
        <v>65</v>
      </c>
      <c r="C37">
        <v>52</v>
      </c>
      <c r="D37" t="s">
        <v>66</v>
      </c>
      <c r="J37" t="s">
        <v>507</v>
      </c>
      <c r="K37" t="s">
        <v>508</v>
      </c>
      <c r="L37" t="s">
        <v>509</v>
      </c>
      <c r="M37" t="s">
        <v>510</v>
      </c>
      <c r="O37" t="s">
        <v>511</v>
      </c>
    </row>
    <row r="38" spans="1:15">
      <c r="A38" t="s">
        <v>67</v>
      </c>
      <c r="C38" t="s">
        <v>68</v>
      </c>
      <c r="D38" t="s">
        <v>69</v>
      </c>
      <c r="J38">
        <v>3</v>
      </c>
      <c r="K38">
        <v>0.05</v>
      </c>
      <c r="L38">
        <v>20</v>
      </c>
      <c r="M38">
        <v>0.05</v>
      </c>
      <c r="O38">
        <f>J38*L38*M38+K38</f>
        <v>3.05</v>
      </c>
    </row>
    <row r="39" spans="1:15">
      <c r="A39">
        <v>1000</v>
      </c>
    </row>
    <row r="40" spans="1:15">
      <c r="A40" t="s">
        <v>70</v>
      </c>
      <c r="C40" t="s">
        <v>71</v>
      </c>
    </row>
    <row r="41" spans="1:15">
      <c r="A41" t="s">
        <v>72</v>
      </c>
      <c r="C41" t="s">
        <v>73</v>
      </c>
    </row>
  </sheetData>
  <mergeCells count="25">
    <mergeCell ref="A1:O2"/>
    <mergeCell ref="A3:B3"/>
    <mergeCell ref="E3:I3"/>
    <mergeCell ref="A4:B5"/>
    <mergeCell ref="C4:C5"/>
    <mergeCell ref="D4:D5"/>
    <mergeCell ref="E4:I5"/>
    <mergeCell ref="A6:B7"/>
    <mergeCell ref="C6:C7"/>
    <mergeCell ref="A13:B14"/>
    <mergeCell ref="C13:C14"/>
    <mergeCell ref="D13:D14"/>
    <mergeCell ref="E13:I14"/>
    <mergeCell ref="D6:D7"/>
    <mergeCell ref="E6:I7"/>
    <mergeCell ref="A8:B9"/>
    <mergeCell ref="C8:C9"/>
    <mergeCell ref="D8:D9"/>
    <mergeCell ref="E8:I9"/>
    <mergeCell ref="E12:I12"/>
    <mergeCell ref="A10:B11"/>
    <mergeCell ref="C10:C11"/>
    <mergeCell ref="D10:D11"/>
    <mergeCell ref="E10:I11"/>
    <mergeCell ref="A12:B12"/>
  </mergeCells>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tabSelected="1" workbookViewId="0">
      <selection activeCell="F12" sqref="F12"/>
    </sheetView>
  </sheetViews>
  <sheetFormatPr defaultRowHeight="16.5"/>
  <cols>
    <col min="1" max="1" width="12.25" bestFit="1" customWidth="1"/>
    <col min="2" max="2" width="23.625" bestFit="1" customWidth="1"/>
    <col min="3" max="3" width="11.5" bestFit="1" customWidth="1"/>
    <col min="5" max="5" width="11.75" bestFit="1" customWidth="1"/>
    <col min="6" max="6" width="22.375" bestFit="1" customWidth="1"/>
    <col min="7" max="7" width="33.875" bestFit="1" customWidth="1"/>
  </cols>
  <sheetData>
    <row r="1" spans="1:7">
      <c r="A1" t="s">
        <v>74</v>
      </c>
      <c r="B1" t="s">
        <v>75</v>
      </c>
      <c r="C1" t="s">
        <v>76</v>
      </c>
      <c r="E1" t="s">
        <v>93</v>
      </c>
      <c r="F1" t="s">
        <v>94</v>
      </c>
      <c r="G1" t="s">
        <v>95</v>
      </c>
    </row>
    <row r="2" spans="1:7">
      <c r="B2">
        <v>12</v>
      </c>
      <c r="G2" t="s">
        <v>96</v>
      </c>
    </row>
    <row r="3" spans="1:7" ht="66">
      <c r="A3" s="2" t="s">
        <v>77</v>
      </c>
      <c r="G3" t="s">
        <v>97</v>
      </c>
    </row>
    <row r="4" spans="1:7">
      <c r="A4" t="s">
        <v>78</v>
      </c>
      <c r="B4" t="s">
        <v>79</v>
      </c>
      <c r="C4" t="s">
        <v>80</v>
      </c>
      <c r="G4" t="s">
        <v>98</v>
      </c>
    </row>
    <row r="5" spans="1:7">
      <c r="A5" t="s">
        <v>81</v>
      </c>
      <c r="B5" t="s">
        <v>82</v>
      </c>
      <c r="C5" t="s">
        <v>83</v>
      </c>
      <c r="G5" t="s">
        <v>99</v>
      </c>
    </row>
    <row r="7" spans="1:7">
      <c r="A7" t="s">
        <v>84</v>
      </c>
    </row>
    <row r="8" spans="1:7">
      <c r="A8" t="s">
        <v>85</v>
      </c>
      <c r="B8" t="s">
        <v>86</v>
      </c>
      <c r="C8" t="s">
        <v>24</v>
      </c>
    </row>
    <row r="9" spans="1:7">
      <c r="A9" t="s">
        <v>87</v>
      </c>
      <c r="B9" t="s">
        <v>88</v>
      </c>
    </row>
    <row r="10" spans="1:7">
      <c r="A10" t="s">
        <v>89</v>
      </c>
      <c r="B10" t="s">
        <v>90</v>
      </c>
    </row>
    <row r="11" spans="1:7">
      <c r="A11" t="s">
        <v>91</v>
      </c>
      <c r="B11" t="s">
        <v>92</v>
      </c>
      <c r="E11" t="s">
        <v>108</v>
      </c>
    </row>
    <row r="12" spans="1:7">
      <c r="A12" t="s">
        <v>100</v>
      </c>
      <c r="B12" t="s">
        <v>101</v>
      </c>
      <c r="E12" t="s">
        <v>109</v>
      </c>
      <c r="F12" t="s">
        <v>110</v>
      </c>
    </row>
    <row r="13" spans="1:7">
      <c r="A13" t="s">
        <v>102</v>
      </c>
      <c r="B13" t="s">
        <v>103</v>
      </c>
      <c r="E13" t="s">
        <v>111</v>
      </c>
      <c r="F13" t="s">
        <v>112</v>
      </c>
      <c r="G13" t="s">
        <v>113</v>
      </c>
    </row>
    <row r="14" spans="1:7">
      <c r="A14" t="s">
        <v>104</v>
      </c>
      <c r="B14" t="s">
        <v>105</v>
      </c>
      <c r="E14" t="s">
        <v>2</v>
      </c>
      <c r="F14" t="s">
        <v>114</v>
      </c>
    </row>
    <row r="15" spans="1:7">
      <c r="A15" t="s">
        <v>106</v>
      </c>
      <c r="B15" t="s">
        <v>107</v>
      </c>
      <c r="E15" t="s">
        <v>64</v>
      </c>
      <c r="F15" t="s">
        <v>115</v>
      </c>
    </row>
    <row r="16" spans="1:7">
      <c r="E16" t="s">
        <v>116</v>
      </c>
      <c r="F16" t="s">
        <v>114</v>
      </c>
    </row>
    <row r="17" spans="1:6">
      <c r="E17" t="s">
        <v>117</v>
      </c>
      <c r="F17" t="s">
        <v>118</v>
      </c>
    </row>
    <row r="18" spans="1:6">
      <c r="A18" t="s">
        <v>119</v>
      </c>
    </row>
    <row r="19" spans="1:6">
      <c r="A19" t="s">
        <v>120</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
  <sheetViews>
    <sheetView workbookViewId="0">
      <selection activeCell="B2" sqref="B2"/>
    </sheetView>
  </sheetViews>
  <sheetFormatPr defaultRowHeight="16.5"/>
  <cols>
    <col min="1" max="2" width="83.25" bestFit="1" customWidth="1"/>
    <col min="3" max="3" width="35" bestFit="1" customWidth="1"/>
    <col min="4" max="5" width="9.5" bestFit="1" customWidth="1"/>
  </cols>
  <sheetData>
    <row r="1" spans="1:5" ht="26.25">
      <c r="A1" s="10" t="s">
        <v>121</v>
      </c>
      <c r="B1" s="5" t="s">
        <v>122</v>
      </c>
      <c r="E1" s="13"/>
    </row>
    <row r="2" spans="1:5">
      <c r="A2" s="9" t="s">
        <v>123</v>
      </c>
      <c r="B2" s="6" t="s">
        <v>124</v>
      </c>
      <c r="E2" s="6"/>
    </row>
    <row r="3" spans="1:5" ht="49.5">
      <c r="A3" s="9" t="s">
        <v>125</v>
      </c>
      <c r="B3" s="6" t="s">
        <v>126</v>
      </c>
      <c r="E3" s="6"/>
    </row>
    <row r="4" spans="1:5" ht="49.5">
      <c r="A4" s="9" t="s">
        <v>127</v>
      </c>
      <c r="B4" s="6" t="s">
        <v>128</v>
      </c>
      <c r="E4" s="6"/>
    </row>
    <row r="5" spans="1:5" ht="33">
      <c r="A5" s="11" t="s">
        <v>129</v>
      </c>
      <c r="B5" s="7" t="s">
        <v>130</v>
      </c>
      <c r="E5" s="6"/>
    </row>
    <row r="6" spans="1:5" ht="33">
      <c r="A6" s="9" t="s">
        <v>131</v>
      </c>
      <c r="B6" s="7" t="s">
        <v>132</v>
      </c>
      <c r="E6" s="6"/>
    </row>
    <row r="7" spans="1:5" ht="17.25" thickBot="1">
      <c r="A7" s="9" t="s">
        <v>133</v>
      </c>
      <c r="B7" s="6" t="s">
        <v>134</v>
      </c>
      <c r="E7" s="8"/>
    </row>
    <row r="8" spans="1:5" ht="33">
      <c r="A8" s="9" t="s">
        <v>135</v>
      </c>
      <c r="B8" s="6" t="s">
        <v>136</v>
      </c>
    </row>
    <row r="9" spans="1:5" ht="33">
      <c r="A9" s="9" t="s">
        <v>137</v>
      </c>
      <c r="B9" s="7" t="s">
        <v>138</v>
      </c>
    </row>
    <row r="10" spans="1:5" ht="33">
      <c r="A10" s="9" t="s">
        <v>139</v>
      </c>
      <c r="B10" s="6"/>
    </row>
    <row r="11" spans="1:5" ht="66.75" thickBot="1">
      <c r="A11" s="12" t="s">
        <v>140</v>
      </c>
      <c r="B11" s="8"/>
    </row>
    <row r="12" spans="1:5">
      <c r="A12" s="3"/>
    </row>
    <row r="13" spans="1:5">
      <c r="A13" s="3"/>
    </row>
    <row r="14" spans="1:5" ht="26.25">
      <c r="A14" s="4" t="s">
        <v>141</v>
      </c>
    </row>
    <row r="15" spans="1:5">
      <c r="A15" s="1" t="s">
        <v>142</v>
      </c>
    </row>
    <row r="16" spans="1:5">
      <c r="A16" s="1" t="s">
        <v>143</v>
      </c>
    </row>
    <row r="17" spans="1:1">
      <c r="A17" s="1" t="s">
        <v>144</v>
      </c>
    </row>
    <row r="18" spans="1:1">
      <c r="A18" s="1" t="s">
        <v>145</v>
      </c>
    </row>
    <row r="19" spans="1:1">
      <c r="A19" s="3"/>
    </row>
  </sheetData>
  <phoneticPr fontId="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7"/>
  <sheetViews>
    <sheetView workbookViewId="0">
      <selection activeCell="A25" sqref="A25:H25"/>
    </sheetView>
  </sheetViews>
  <sheetFormatPr defaultRowHeight="16.5"/>
  <sheetData>
    <row r="1" spans="1:8">
      <c r="A1" s="82" t="s">
        <v>146</v>
      </c>
      <c r="B1" s="82"/>
      <c r="C1" s="82"/>
      <c r="D1" s="82"/>
    </row>
    <row r="2" spans="1:8">
      <c r="A2" s="84" t="s">
        <v>147</v>
      </c>
      <c r="B2" s="84"/>
      <c r="C2" s="84"/>
      <c r="D2" s="84"/>
      <c r="E2" s="84"/>
      <c r="F2" s="84"/>
      <c r="G2" s="84"/>
      <c r="H2" s="84"/>
    </row>
    <row r="3" spans="1:8">
      <c r="A3" s="84" t="s">
        <v>148</v>
      </c>
      <c r="B3" s="84"/>
      <c r="C3" s="84"/>
      <c r="D3" s="84"/>
      <c r="E3" s="84"/>
      <c r="F3" s="84"/>
      <c r="G3" s="84"/>
      <c r="H3" s="84"/>
    </row>
    <row r="4" spans="1:8">
      <c r="A4" s="84" t="s">
        <v>149</v>
      </c>
      <c r="B4" s="84"/>
      <c r="C4" s="84"/>
      <c r="D4" s="84"/>
      <c r="E4" s="84"/>
      <c r="F4" s="84"/>
      <c r="G4" s="84"/>
      <c r="H4" s="84"/>
    </row>
    <row r="5" spans="1:8">
      <c r="A5" s="84" t="s">
        <v>150</v>
      </c>
      <c r="B5" s="84"/>
      <c r="C5" s="84"/>
      <c r="D5" s="84"/>
      <c r="E5" s="84"/>
      <c r="F5" s="84"/>
      <c r="G5" s="84"/>
      <c r="H5" s="84"/>
    </row>
    <row r="6" spans="1:8">
      <c r="A6" s="84" t="s">
        <v>151</v>
      </c>
      <c r="B6" s="84"/>
      <c r="C6" s="84"/>
      <c r="D6" s="84"/>
      <c r="E6" s="84"/>
      <c r="F6" s="84"/>
      <c r="G6" s="84"/>
      <c r="H6" s="84"/>
    </row>
    <row r="7" spans="1:8">
      <c r="A7" s="84"/>
      <c r="B7" s="84"/>
      <c r="C7" s="84"/>
      <c r="D7" s="84"/>
      <c r="E7" s="84"/>
      <c r="F7" s="84"/>
      <c r="G7" s="84"/>
      <c r="H7" s="84"/>
    </row>
    <row r="8" spans="1:8">
      <c r="A8" s="84"/>
      <c r="B8" s="84"/>
      <c r="C8" s="84"/>
      <c r="D8" s="84"/>
      <c r="E8" s="84"/>
      <c r="F8" s="84"/>
      <c r="G8" s="84"/>
      <c r="H8" s="84"/>
    </row>
    <row r="9" spans="1:8">
      <c r="A9" s="84" t="s">
        <v>152</v>
      </c>
      <c r="B9" s="84"/>
      <c r="C9" s="84"/>
      <c r="D9" s="84"/>
      <c r="E9" s="84"/>
      <c r="F9" s="84"/>
      <c r="G9" s="84"/>
      <c r="H9" s="84"/>
    </row>
    <row r="10" spans="1:8">
      <c r="A10" s="84" t="s">
        <v>153</v>
      </c>
      <c r="B10" s="84"/>
      <c r="C10" s="84"/>
      <c r="D10" s="84"/>
      <c r="E10" s="84"/>
      <c r="F10" s="84"/>
      <c r="G10" s="84"/>
      <c r="H10" s="84"/>
    </row>
    <row r="11" spans="1:8">
      <c r="A11" s="84" t="s">
        <v>154</v>
      </c>
      <c r="B11" s="84"/>
      <c r="C11" s="84"/>
      <c r="D11" s="84"/>
      <c r="E11" s="84"/>
      <c r="F11" s="84"/>
      <c r="G11" s="84"/>
      <c r="H11" s="84"/>
    </row>
    <row r="12" spans="1:8">
      <c r="A12" s="84" t="s">
        <v>155</v>
      </c>
      <c r="B12" s="84"/>
      <c r="C12" s="84"/>
      <c r="D12" s="84"/>
      <c r="E12" s="84"/>
      <c r="F12" s="84"/>
      <c r="G12" s="84"/>
      <c r="H12" s="84"/>
    </row>
    <row r="13" spans="1:8">
      <c r="A13" s="84" t="s">
        <v>156</v>
      </c>
      <c r="B13" s="84"/>
      <c r="C13" s="84"/>
      <c r="D13" s="84"/>
      <c r="E13" s="84"/>
      <c r="F13" s="84"/>
      <c r="G13" s="84"/>
      <c r="H13" s="84"/>
    </row>
    <row r="14" spans="1:8">
      <c r="A14" s="84" t="s">
        <v>157</v>
      </c>
      <c r="B14" s="84"/>
      <c r="C14" s="84"/>
      <c r="D14" s="84"/>
      <c r="E14" s="84"/>
      <c r="F14" s="84"/>
      <c r="G14" s="84"/>
      <c r="H14" s="84"/>
    </row>
    <row r="15" spans="1:8">
      <c r="A15" s="84" t="s">
        <v>158</v>
      </c>
      <c r="B15" s="84"/>
      <c r="C15" s="84"/>
      <c r="D15" s="84"/>
      <c r="E15" s="84"/>
      <c r="F15" s="84"/>
      <c r="G15" s="84"/>
      <c r="H15" s="84"/>
    </row>
    <row r="16" spans="1:8">
      <c r="A16" s="84"/>
      <c r="B16" s="84"/>
      <c r="C16" s="84"/>
      <c r="D16" s="84"/>
      <c r="E16" s="84"/>
      <c r="F16" s="84"/>
      <c r="G16" s="84"/>
      <c r="H16" s="84"/>
    </row>
    <row r="17" spans="1:8">
      <c r="A17" s="14" t="s">
        <v>159</v>
      </c>
      <c r="B17" s="3"/>
      <c r="C17" s="3"/>
      <c r="D17" s="3"/>
      <c r="E17" s="3"/>
      <c r="F17" s="3"/>
      <c r="G17" s="3"/>
      <c r="H17" s="3"/>
    </row>
    <row r="18" spans="1:8">
      <c r="A18" s="83"/>
      <c r="B18" s="83"/>
      <c r="C18" s="83"/>
      <c r="D18" s="83"/>
      <c r="E18" s="83"/>
      <c r="F18" s="83"/>
      <c r="G18" s="83"/>
      <c r="H18" s="83"/>
    </row>
    <row r="19" spans="1:8">
      <c r="A19" s="83"/>
      <c r="B19" s="83"/>
      <c r="C19" s="83"/>
      <c r="D19" s="83"/>
      <c r="E19" s="83"/>
      <c r="F19" s="83"/>
      <c r="G19" s="83"/>
      <c r="H19" s="83"/>
    </row>
    <row r="20" spans="1:8">
      <c r="A20" s="83"/>
      <c r="B20" s="83"/>
      <c r="C20" s="83"/>
      <c r="D20" s="83"/>
      <c r="E20" s="83"/>
      <c r="F20" s="83"/>
      <c r="G20" s="83"/>
      <c r="H20" s="83"/>
    </row>
    <row r="21" spans="1:8">
      <c r="A21" s="83"/>
      <c r="B21" s="83"/>
      <c r="C21" s="83"/>
      <c r="D21" s="83"/>
      <c r="E21" s="83"/>
      <c r="F21" s="83"/>
      <c r="G21" s="83"/>
      <c r="H21" s="83"/>
    </row>
    <row r="22" spans="1:8">
      <c r="A22" s="83"/>
      <c r="B22" s="83"/>
      <c r="C22" s="83"/>
      <c r="D22" s="83"/>
      <c r="E22" s="83"/>
      <c r="F22" s="83"/>
      <c r="G22" s="83"/>
      <c r="H22" s="83"/>
    </row>
    <row r="23" spans="1:8">
      <c r="A23" s="83"/>
      <c r="B23" s="83"/>
      <c r="C23" s="83"/>
      <c r="D23" s="83"/>
      <c r="E23" s="83"/>
      <c r="F23" s="83"/>
      <c r="G23" s="83"/>
      <c r="H23" s="83"/>
    </row>
    <row r="24" spans="1:8">
      <c r="A24" s="83"/>
      <c r="B24" s="83"/>
      <c r="C24" s="83"/>
      <c r="D24" s="83"/>
      <c r="E24" s="83"/>
      <c r="F24" s="83"/>
      <c r="G24" s="83"/>
      <c r="H24" s="83"/>
    </row>
    <row r="25" spans="1:8">
      <c r="A25" s="83"/>
      <c r="B25" s="83"/>
      <c r="C25" s="83"/>
      <c r="D25" s="83"/>
      <c r="E25" s="83"/>
      <c r="F25" s="83"/>
      <c r="G25" s="83"/>
      <c r="H25" s="83"/>
    </row>
    <row r="26" spans="1:8">
      <c r="A26" s="83"/>
      <c r="B26" s="83"/>
      <c r="C26" s="83"/>
      <c r="D26" s="83"/>
      <c r="E26" s="83"/>
      <c r="F26" s="83"/>
      <c r="G26" s="83"/>
      <c r="H26" s="83"/>
    </row>
    <row r="27" spans="1:8">
      <c r="A27" s="83"/>
      <c r="B27" s="83"/>
      <c r="C27" s="83"/>
      <c r="D27" s="83"/>
      <c r="E27" s="83"/>
      <c r="F27" s="83"/>
      <c r="G27" s="83"/>
      <c r="H27" s="83"/>
    </row>
    <row r="28" spans="1:8">
      <c r="A28" s="83"/>
      <c r="B28" s="83"/>
      <c r="C28" s="83"/>
      <c r="D28" s="83"/>
      <c r="E28" s="83"/>
      <c r="F28" s="83"/>
      <c r="G28" s="83"/>
      <c r="H28" s="83"/>
    </row>
    <row r="29" spans="1:8">
      <c r="A29" s="83"/>
      <c r="B29" s="83"/>
      <c r="C29" s="83"/>
      <c r="D29" s="83"/>
      <c r="E29" s="83"/>
      <c r="F29" s="83"/>
      <c r="G29" s="83"/>
      <c r="H29" s="83"/>
    </row>
    <row r="30" spans="1:8">
      <c r="A30" s="83"/>
      <c r="B30" s="83"/>
      <c r="C30" s="83"/>
      <c r="D30" s="83"/>
      <c r="E30" s="83"/>
      <c r="F30" s="83"/>
      <c r="G30" s="83"/>
      <c r="H30" s="83"/>
    </row>
    <row r="31" spans="1:8">
      <c r="A31" s="83"/>
      <c r="B31" s="83"/>
      <c r="C31" s="83"/>
      <c r="D31" s="83"/>
      <c r="E31" s="83"/>
      <c r="F31" s="83"/>
      <c r="G31" s="83"/>
      <c r="H31" s="83"/>
    </row>
    <row r="32" spans="1:8">
      <c r="A32" s="83"/>
      <c r="B32" s="83"/>
      <c r="C32" s="83"/>
      <c r="D32" s="83"/>
      <c r="E32" s="83"/>
      <c r="F32" s="83"/>
      <c r="G32" s="83"/>
      <c r="H32" s="83"/>
    </row>
    <row r="33" spans="1:8">
      <c r="A33" s="83"/>
      <c r="B33" s="83"/>
      <c r="C33" s="83"/>
      <c r="D33" s="83"/>
      <c r="E33" s="83"/>
      <c r="F33" s="83"/>
      <c r="G33" s="83"/>
      <c r="H33" s="83"/>
    </row>
    <row r="34" spans="1:8">
      <c r="A34" s="83"/>
      <c r="B34" s="83"/>
      <c r="C34" s="83"/>
      <c r="D34" s="83"/>
      <c r="E34" s="83"/>
      <c r="F34" s="83"/>
      <c r="G34" s="83"/>
      <c r="H34" s="83"/>
    </row>
    <row r="35" spans="1:8">
      <c r="A35" s="83"/>
      <c r="B35" s="83"/>
      <c r="C35" s="83"/>
      <c r="D35" s="83"/>
      <c r="E35" s="83"/>
      <c r="F35" s="83"/>
      <c r="G35" s="83"/>
      <c r="H35" s="83"/>
    </row>
    <row r="36" spans="1:8">
      <c r="A36" s="83"/>
      <c r="B36" s="83"/>
      <c r="C36" s="83"/>
      <c r="D36" s="83"/>
      <c r="E36" s="83"/>
      <c r="F36" s="83"/>
      <c r="G36" s="83"/>
      <c r="H36" s="83"/>
    </row>
    <row r="37" spans="1:8">
      <c r="A37" s="83"/>
      <c r="B37" s="83"/>
      <c r="C37" s="83"/>
      <c r="D37" s="83"/>
      <c r="E37" s="83"/>
      <c r="F37" s="83"/>
      <c r="G37" s="83"/>
      <c r="H37" s="83"/>
    </row>
  </sheetData>
  <mergeCells count="36">
    <mergeCell ref="A12:H12"/>
    <mergeCell ref="A1:D1"/>
    <mergeCell ref="A2:H2"/>
    <mergeCell ref="A3:H3"/>
    <mergeCell ref="A4:H4"/>
    <mergeCell ref="A5:H5"/>
    <mergeCell ref="A6:H6"/>
    <mergeCell ref="A7:H7"/>
    <mergeCell ref="A8:H8"/>
    <mergeCell ref="A9:H9"/>
    <mergeCell ref="A10:H10"/>
    <mergeCell ref="A11:H11"/>
    <mergeCell ref="A13:H13"/>
    <mergeCell ref="A14:H14"/>
    <mergeCell ref="A15:H15"/>
    <mergeCell ref="A16:H16"/>
    <mergeCell ref="A18:H18"/>
    <mergeCell ref="A30:H30"/>
    <mergeCell ref="A19:H19"/>
    <mergeCell ref="A20:H20"/>
    <mergeCell ref="A21:H21"/>
    <mergeCell ref="A22:H22"/>
    <mergeCell ref="A23:H23"/>
    <mergeCell ref="A24:H24"/>
    <mergeCell ref="A25:H25"/>
    <mergeCell ref="A26:H26"/>
    <mergeCell ref="A27:H27"/>
    <mergeCell ref="A28:H28"/>
    <mergeCell ref="A29:H29"/>
    <mergeCell ref="A37:H37"/>
    <mergeCell ref="A31:H31"/>
    <mergeCell ref="A32:H32"/>
    <mergeCell ref="A33:H33"/>
    <mergeCell ref="A34:H34"/>
    <mergeCell ref="A35:H35"/>
    <mergeCell ref="A36:H36"/>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1"/>
  <sheetViews>
    <sheetView workbookViewId="0">
      <selection activeCell="A10" sqref="A10:A11"/>
    </sheetView>
  </sheetViews>
  <sheetFormatPr defaultRowHeight="16.5"/>
  <cols>
    <col min="1" max="1" width="60.125" bestFit="1" customWidth="1"/>
    <col min="2" max="2" width="28.375" customWidth="1"/>
    <col min="3" max="3" width="15.375" bestFit="1" customWidth="1"/>
  </cols>
  <sheetData>
    <row r="1" spans="1:4">
      <c r="A1" t="s">
        <v>160</v>
      </c>
      <c r="B1" t="s">
        <v>169</v>
      </c>
      <c r="C1" t="s">
        <v>172</v>
      </c>
    </row>
    <row r="2" spans="1:4">
      <c r="A2" t="s">
        <v>164</v>
      </c>
      <c r="B2" t="s">
        <v>0</v>
      </c>
      <c r="C2" t="s">
        <v>173</v>
      </c>
      <c r="D2" t="s">
        <v>184</v>
      </c>
    </row>
    <row r="3" spans="1:4">
      <c r="A3" t="s">
        <v>161</v>
      </c>
      <c r="B3" t="s">
        <v>180</v>
      </c>
      <c r="C3" t="s">
        <v>174</v>
      </c>
    </row>
    <row r="4" spans="1:4">
      <c r="A4" t="s">
        <v>162</v>
      </c>
      <c r="B4" t="s">
        <v>170</v>
      </c>
      <c r="C4" t="s">
        <v>175</v>
      </c>
    </row>
    <row r="5" spans="1:4">
      <c r="A5" t="s">
        <v>163</v>
      </c>
      <c r="B5" t="s">
        <v>181</v>
      </c>
      <c r="C5" t="s">
        <v>176</v>
      </c>
    </row>
    <row r="6" spans="1:4">
      <c r="B6" t="s">
        <v>171</v>
      </c>
      <c r="C6" t="s">
        <v>177</v>
      </c>
    </row>
    <row r="7" spans="1:4">
      <c r="A7" t="s">
        <v>165</v>
      </c>
      <c r="B7" t="s">
        <v>182</v>
      </c>
      <c r="C7" t="s">
        <v>178</v>
      </c>
      <c r="D7" t="s">
        <v>185</v>
      </c>
    </row>
    <row r="8" spans="1:4">
      <c r="A8" t="s">
        <v>166</v>
      </c>
      <c r="C8" t="s">
        <v>179</v>
      </c>
    </row>
    <row r="9" spans="1:4">
      <c r="C9" t="s">
        <v>183</v>
      </c>
    </row>
    <row r="10" spans="1:4">
      <c r="A10" t="s">
        <v>168</v>
      </c>
    </row>
    <row r="11" spans="1:4">
      <c r="A11" t="s">
        <v>167</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election activeCell="B4" sqref="B4"/>
    </sheetView>
  </sheetViews>
  <sheetFormatPr defaultRowHeight="16.5"/>
  <cols>
    <col min="1" max="1" width="17.625" customWidth="1"/>
    <col min="2" max="2" width="32.875" bestFit="1" customWidth="1"/>
  </cols>
  <sheetData>
    <row r="1" spans="1:2">
      <c r="A1" s="15" t="s">
        <v>186</v>
      </c>
      <c r="B1" s="15" t="s">
        <v>187</v>
      </c>
    </row>
    <row r="2" spans="1:2">
      <c r="A2" s="1" t="s">
        <v>57</v>
      </c>
      <c r="B2" s="1" t="s">
        <v>189</v>
      </c>
    </row>
    <row r="3" spans="1:2">
      <c r="A3" s="1" t="s">
        <v>188</v>
      </c>
      <c r="B3" s="1" t="s">
        <v>190</v>
      </c>
    </row>
    <row r="4" spans="1:2">
      <c r="A4" s="1" t="s">
        <v>170</v>
      </c>
      <c r="B4" s="1" t="s">
        <v>191</v>
      </c>
    </row>
    <row r="5" spans="1:2">
      <c r="A5" s="1"/>
      <c r="B5" s="1"/>
    </row>
    <row r="6" spans="1:2">
      <c r="A6" s="1"/>
      <c r="B6" s="1"/>
    </row>
    <row r="7" spans="1:2">
      <c r="A7" s="1"/>
      <c r="B7" s="1"/>
    </row>
    <row r="8" spans="1:2">
      <c r="A8" s="1"/>
      <c r="B8" s="1"/>
    </row>
    <row r="9" spans="1:2">
      <c r="A9" s="1"/>
      <c r="B9" s="1"/>
    </row>
    <row r="10" spans="1:2">
      <c r="A10" s="1"/>
      <c r="B10" s="1"/>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DAY-1(한글)</vt:lpstr>
      <vt:lpstr>DAY-2(한글)</vt:lpstr>
      <vt:lpstr>Day-3(한글)</vt:lpstr>
      <vt:lpstr>DAY-4(한글)</vt:lpstr>
      <vt:lpstr>DAY-5(한글)</vt:lpstr>
      <vt:lpstr>DAY-6</vt:lpstr>
      <vt:lpstr>Grounding</vt:lpstr>
      <vt:lpstr>day-10</vt:lpstr>
      <vt:lpstr>Bonus Session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2025-08-07T09:00:04Z</dcterms:modified>
</cp:coreProperties>
</file>