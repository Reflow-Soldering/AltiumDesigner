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xr:revisionPtr revIDLastSave="0" documentId="13_ncr:1_{D9F80585-2095-46C1-BAB8-8E622CF18DCB}" xr6:coauthVersionLast="47" xr6:coauthVersionMax="47" xr10:uidLastSave="{00000000-0000-0000-0000-000000000000}"/>
  <bookViews>
    <workbookView xWindow="28680" yWindow="-120" windowWidth="29040" windowHeight="15720" xr2:uid="{00000000-000D-0000-FFFF-FFFF00000000}"/>
  </bookViews>
  <sheets>
    <sheet name="DAY-1(한글)" sheetId="10" r:id="rId1"/>
    <sheet name="DAY-1" sheetId="1" r:id="rId2"/>
    <sheet name="DAY-2" sheetId="2" r:id="rId3"/>
    <sheet name="Day-3" sheetId="3" r:id="rId4"/>
    <sheet name="DAY-4" sheetId="4" r:id="rId5"/>
    <sheet name="DAY-5" sheetId="5" r:id="rId6"/>
    <sheet name="DAY-6" sheetId="6" r:id="rId7"/>
    <sheet name="Grounding" sheetId="7" r:id="rId8"/>
    <sheet name="day-10" sheetId="8" r:id="rId9"/>
    <sheet name="Bonus Session"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10" l="1"/>
  <c r="B35" i="1"/>
</calcChain>
</file>

<file path=xl/sharedStrings.xml><?xml version="1.0" encoding="utf-8"?>
<sst xmlns="http://schemas.openxmlformats.org/spreadsheetml/2006/main" count="522" uniqueCount="500">
  <si>
    <t>Main Controller</t>
  </si>
  <si>
    <t>y i2c</t>
  </si>
  <si>
    <t xml:space="preserve">z uart, </t>
  </si>
  <si>
    <t>clock freq</t>
  </si>
  <si>
    <t>Manufacturers</t>
  </si>
  <si>
    <t>Flash Memory</t>
  </si>
  <si>
    <t>RAM</t>
  </si>
  <si>
    <t>Voltage</t>
  </si>
  <si>
    <t>Availability</t>
  </si>
  <si>
    <t>Costing</t>
  </si>
  <si>
    <t xml:space="preserve">Prog </t>
  </si>
  <si>
    <t>Resou</t>
  </si>
  <si>
    <t>Debugger</t>
  </si>
  <si>
    <t>Controller should be from same family</t>
  </si>
  <si>
    <t>no of bit should be same</t>
  </si>
  <si>
    <t>no of address Locations</t>
  </si>
  <si>
    <t>2^no of bit</t>
  </si>
  <si>
    <t xml:space="preserve">Clock Freq </t>
  </si>
  <si>
    <t xml:space="preserve">Programing Interface </t>
  </si>
  <si>
    <t>Jtag/swd</t>
  </si>
  <si>
    <t>Ethernet PHY</t>
  </si>
  <si>
    <t>Datalink Layer</t>
  </si>
  <si>
    <t>Physical Layer</t>
  </si>
  <si>
    <t>MII/RMII</t>
  </si>
  <si>
    <t>Media( Twisted, Fibre optics etc)</t>
  </si>
  <si>
    <t>mii (16 Signal)</t>
  </si>
  <si>
    <t>rmii (7 signal)</t>
  </si>
  <si>
    <t>100Mb/s</t>
  </si>
  <si>
    <t>gmii</t>
  </si>
  <si>
    <t>1000Mb/s</t>
  </si>
  <si>
    <t>10,000Mb/s</t>
  </si>
  <si>
    <t>MII Clock</t>
  </si>
  <si>
    <t>25Mhz</t>
  </si>
  <si>
    <t>Phy</t>
  </si>
  <si>
    <t>Driver Avail.</t>
  </si>
  <si>
    <t xml:space="preserve">UART TO USB Conveter </t>
  </si>
  <si>
    <t>FTDI232, CH340C</t>
  </si>
  <si>
    <t>Parameter for ADC</t>
  </si>
  <si>
    <t>No of Bit</t>
  </si>
  <si>
    <t>Reference Reg</t>
  </si>
  <si>
    <t>Prog Gain Amp</t>
  </si>
  <si>
    <t>Sampling Rate</t>
  </si>
  <si>
    <t>100SPS</t>
  </si>
  <si>
    <t>Data+ Data-</t>
  </si>
  <si>
    <t>0 to 10mv</t>
  </si>
  <si>
    <t>4 Wire load cell</t>
  </si>
  <si>
    <t>CM (Voltage b/w Data pin and GND)</t>
  </si>
  <si>
    <t>5V</t>
  </si>
  <si>
    <t>Sesnor (5KG Load Cell)</t>
  </si>
  <si>
    <t xml:space="preserve">Seensitivity </t>
  </si>
  <si>
    <t>1mgrm/v</t>
  </si>
  <si>
    <t>Extitation Voltage</t>
  </si>
  <si>
    <t>5v</t>
  </si>
  <si>
    <t>5mgrm</t>
  </si>
  <si>
    <t>No of steps</t>
  </si>
  <si>
    <t xml:space="preserve">Min no of Bits required </t>
  </si>
  <si>
    <t>SAMPLING Rate</t>
  </si>
  <si>
    <t xml:space="preserve">Sampling Filer </t>
  </si>
  <si>
    <t>1000 sps</t>
  </si>
  <si>
    <t>no of channel</t>
  </si>
  <si>
    <t>1 diff channel</t>
  </si>
  <si>
    <t>Conectivity</t>
  </si>
  <si>
    <t xml:space="preserve">UART, I2C, SPI </t>
  </si>
  <si>
    <t>Feature ADC</t>
  </si>
  <si>
    <t>ESD, Noise rejection</t>
  </si>
  <si>
    <t>Noise free bits</t>
  </si>
  <si>
    <t>Effective Biits</t>
  </si>
  <si>
    <t>Voltage Level</t>
  </si>
  <si>
    <t xml:space="preserve">Motor Driver </t>
  </si>
  <si>
    <t>Bi Directional</t>
  </si>
  <si>
    <t>0 -100%</t>
  </si>
  <si>
    <t>PWM</t>
  </si>
  <si>
    <t>Voltage Level Motors</t>
  </si>
  <si>
    <t>12v</t>
  </si>
  <si>
    <t>Logic level Voltage</t>
  </si>
  <si>
    <t>3.3v</t>
  </si>
  <si>
    <t>Motor Type</t>
  </si>
  <si>
    <t>Brushed DC</t>
  </si>
  <si>
    <t>Technology</t>
  </si>
  <si>
    <t>Power Mosfet</t>
  </si>
  <si>
    <t xml:space="preserve">Interface </t>
  </si>
  <si>
    <t>1 gpio, 1pwm</t>
  </si>
  <si>
    <t xml:space="preserve">Protection </t>
  </si>
  <si>
    <t xml:space="preserve">Overcurrent, </t>
  </si>
  <si>
    <t xml:space="preserve">Sense Current </t>
  </si>
  <si>
    <t>1 ADC</t>
  </si>
  <si>
    <t>Price</t>
  </si>
  <si>
    <t>Mosfets</t>
  </si>
  <si>
    <t>RDS(ON)</t>
  </si>
  <si>
    <t>Should Min</t>
  </si>
  <si>
    <t>I Drain</t>
  </si>
  <si>
    <t>&gt;3.5A</t>
  </si>
  <si>
    <t>V (GS)</t>
  </si>
  <si>
    <t>&gt;9V</t>
  </si>
  <si>
    <t>IDS(Off)</t>
  </si>
  <si>
    <t xml:space="preserve">Min </t>
  </si>
  <si>
    <t>Power Dis</t>
  </si>
  <si>
    <t>iload^2 x RDS(ON)</t>
  </si>
  <si>
    <t>RT(JA)</t>
  </si>
  <si>
    <t>Total Gate Charge</t>
  </si>
  <si>
    <t>delay(charge the gate)</t>
  </si>
  <si>
    <t>min</t>
  </si>
  <si>
    <t>Switching Loas (inc) with total gate change</t>
  </si>
  <si>
    <t>No of elements</t>
  </si>
  <si>
    <t>Dac</t>
  </si>
  <si>
    <t>64x Fs</t>
  </si>
  <si>
    <t>No of channel required</t>
  </si>
  <si>
    <t>Interface</t>
  </si>
  <si>
    <t>I2S</t>
  </si>
  <si>
    <t xml:space="preserve">Resolution </t>
  </si>
  <si>
    <t xml:space="preserve">32bit </t>
  </si>
  <si>
    <t xml:space="preserve">no analog O/P </t>
  </si>
  <si>
    <t xml:space="preserve">1 For headphone, 1 speaker </t>
  </si>
  <si>
    <t xml:space="preserve">Volatge Level </t>
  </si>
  <si>
    <t xml:space="preserve">3.3v </t>
  </si>
  <si>
    <t>integrated Microphone</t>
  </si>
  <si>
    <t xml:space="preserve">monotocity </t>
  </si>
  <si>
    <t>Range of Audio(db)</t>
  </si>
  <si>
    <t>High minus -low Audio</t>
  </si>
  <si>
    <t xml:space="preserve">Main Controller </t>
  </si>
  <si>
    <t>STM32F407VGT6</t>
  </si>
  <si>
    <t xml:space="preserve">Programmer/debugger </t>
  </si>
  <si>
    <t>STM32F103CBT6</t>
  </si>
  <si>
    <t>DP838261RHBR</t>
  </si>
  <si>
    <t>UART TO USB2.0</t>
  </si>
  <si>
    <t>CH340C</t>
  </si>
  <si>
    <t>ADC (Load cell)</t>
  </si>
  <si>
    <t>ADS122C04IPW</t>
  </si>
  <si>
    <t xml:space="preserve">motor driver </t>
  </si>
  <si>
    <t>DRV8701E</t>
  </si>
  <si>
    <t>mosfet</t>
  </si>
  <si>
    <t>DMHT6016LFJ</t>
  </si>
  <si>
    <t>DAC with Mic</t>
  </si>
  <si>
    <t>STM32F103</t>
  </si>
  <si>
    <t>Page-11</t>
  </si>
  <si>
    <t>Block Diag</t>
  </si>
  <si>
    <t>Page- 15</t>
  </si>
  <si>
    <t>Booting Config</t>
  </si>
  <si>
    <t>Page-26</t>
  </si>
  <si>
    <t>PIN Names, Package info</t>
  </si>
  <si>
    <t>28-33</t>
  </si>
  <si>
    <t>Pin Config Table</t>
  </si>
  <si>
    <t>Page-35</t>
  </si>
  <si>
    <t xml:space="preserve">Load Cap, VDD </t>
  </si>
  <si>
    <t>Page-36</t>
  </si>
  <si>
    <t>Voltage Page</t>
  </si>
  <si>
    <t>Page-37</t>
  </si>
  <si>
    <t>Max Power Est</t>
  </si>
  <si>
    <t xml:space="preserve">Page-51 </t>
  </si>
  <si>
    <t xml:space="preserve">Page-60 </t>
  </si>
  <si>
    <t>ESD Table</t>
  </si>
  <si>
    <t>Page-68</t>
  </si>
  <si>
    <t xml:space="preserve">Reset </t>
  </si>
  <si>
    <t>Page-70</t>
  </si>
  <si>
    <t>I2C Pull-ups</t>
  </si>
  <si>
    <t>Page-78</t>
  </si>
  <si>
    <t>Design Guidelines</t>
  </si>
  <si>
    <t>Clock Config</t>
  </si>
  <si>
    <t>Bypass Caps</t>
  </si>
  <si>
    <t>1Mhz</t>
  </si>
  <si>
    <t>ns</t>
  </si>
  <si>
    <t>3.3v&lt;x</t>
  </si>
  <si>
    <t>0.2V</t>
  </si>
  <si>
    <t>10R</t>
  </si>
  <si>
    <t>Series Termination  Resistance</t>
  </si>
  <si>
    <t>ESD DIODES/TVS DIODES</t>
  </si>
  <si>
    <t>Leckage Current</t>
  </si>
  <si>
    <t>Standoff voltage</t>
  </si>
  <si>
    <t>Break down voltage</t>
  </si>
  <si>
    <t>Clamping Voltage</t>
  </si>
  <si>
    <t>Paracitic cap</t>
  </si>
  <si>
    <t>XC</t>
  </si>
  <si>
    <t>1/2 PI F C</t>
  </si>
  <si>
    <t>FC(High), C(High) Imp (Low)</t>
  </si>
  <si>
    <t>Min</t>
  </si>
  <si>
    <t>TX+, TX-, RX+, RX-</t>
  </si>
  <si>
    <t>3.3V</t>
  </si>
  <si>
    <t>&gt;3.3V</t>
  </si>
  <si>
    <t>ESD3V3D9</t>
  </si>
  <si>
    <t>RJ45 With Mag</t>
  </si>
  <si>
    <t>Working Voltage</t>
  </si>
  <si>
    <t>Isolation Voltage</t>
  </si>
  <si>
    <t>Speed</t>
  </si>
  <si>
    <t>Magnetics with RJ45</t>
  </si>
  <si>
    <t>G8X-188S7-BP</t>
  </si>
  <si>
    <t>Ferrite Bead</t>
  </si>
  <si>
    <t>R dc</t>
  </si>
  <si>
    <t>Maximum</t>
  </si>
  <si>
    <t>Range of freq</t>
  </si>
  <si>
    <t xml:space="preserve">Current </t>
  </si>
  <si>
    <t>Current of line</t>
  </si>
  <si>
    <t>MPZ1608B471ATA00</t>
  </si>
  <si>
    <t>IMP</t>
  </si>
  <si>
    <t>FREQ</t>
  </si>
  <si>
    <t>SWD/JTAG</t>
  </si>
  <si>
    <t>SWD</t>
  </si>
  <si>
    <t>SWDIO, SWCLK, GND</t>
  </si>
  <si>
    <t>JTAG(4/5)</t>
  </si>
  <si>
    <t>JTNRST, JTCK, JTMS, JTDI, JTDO, GND</t>
  </si>
  <si>
    <t>JTAG</t>
  </si>
  <si>
    <t>Programming / debugging</t>
  </si>
  <si>
    <t>testing (Max processing)</t>
  </si>
  <si>
    <t>Arm arch</t>
  </si>
  <si>
    <t xml:space="preserve">independent </t>
  </si>
  <si>
    <t>print during deb</t>
  </si>
  <si>
    <t>not</t>
  </si>
  <si>
    <t>Symbol Desing</t>
  </si>
  <si>
    <t>IPC-STD-2612</t>
  </si>
  <si>
    <t>Footprint</t>
  </si>
  <si>
    <t>IPC-STD-7351</t>
  </si>
  <si>
    <t>ICHOP</t>
  </si>
  <si>
    <t>3A</t>
  </si>
  <si>
    <t>VREF</t>
  </si>
  <si>
    <t>?</t>
  </si>
  <si>
    <t>VOFF</t>
  </si>
  <si>
    <t>0.05V</t>
  </si>
  <si>
    <t>AVDD</t>
  </si>
  <si>
    <t>4.8V</t>
  </si>
  <si>
    <t>Gain</t>
  </si>
  <si>
    <t>3.05V</t>
  </si>
  <si>
    <t>Vout</t>
  </si>
  <si>
    <t>r2*vin/(r1+r2)</t>
  </si>
  <si>
    <t>3r1+3r2=r2*4.8</t>
  </si>
  <si>
    <t>r1/r2</t>
  </si>
  <si>
    <t>1.8/3.3</t>
  </si>
  <si>
    <t>r1</t>
  </si>
  <si>
    <t>1.5k</t>
  </si>
  <si>
    <t>r2</t>
  </si>
  <si>
    <t>3k</t>
  </si>
  <si>
    <t xml:space="preserve">Page no </t>
  </si>
  <si>
    <t xml:space="preserve">application Page </t>
  </si>
  <si>
    <t>BULK CAPS</t>
  </si>
  <si>
    <t>CMIN</t>
  </si>
  <si>
    <t>D*(1-D)*IO/ DELV*Fsw</t>
  </si>
  <si>
    <t>D</t>
  </si>
  <si>
    <t>Vo*100/VIN*eff</t>
  </si>
  <si>
    <t>I0</t>
  </si>
  <si>
    <t>7.6A</t>
  </si>
  <si>
    <t>VIN=VOUT</t>
  </si>
  <si>
    <t>12V</t>
  </si>
  <si>
    <t>fsw</t>
  </si>
  <si>
    <t>eff</t>
  </si>
  <si>
    <t>delv</t>
  </si>
  <si>
    <t>Cmin</t>
  </si>
  <si>
    <t>250uF</t>
  </si>
  <si>
    <t>~100uF</t>
  </si>
  <si>
    <t>ESR</t>
  </si>
  <si>
    <t xml:space="preserve">Ripple Current </t>
  </si>
  <si>
    <t>Max</t>
  </si>
  <si>
    <t>ADC</t>
  </si>
  <si>
    <t xml:space="preserve">Page No </t>
  </si>
  <si>
    <t>Filter Calc</t>
  </si>
  <si>
    <t>FC</t>
  </si>
  <si>
    <t>1/(2*PI*(R1+R2)*CDIF)</t>
  </si>
  <si>
    <t>r1=r2=1k</t>
  </si>
  <si>
    <t>CDIF</t>
  </si>
  <si>
    <t>100nF</t>
  </si>
  <si>
    <t>CM1=CM2</t>
  </si>
  <si>
    <t>10nF</t>
  </si>
  <si>
    <t>Charge Pump:</t>
  </si>
  <si>
    <t>i/p 12v</t>
  </si>
  <si>
    <t>24v</t>
  </si>
  <si>
    <t>Arangement of Capacitor, Diode, CLK, Gates</t>
  </si>
  <si>
    <t>V1 + V1</t>
  </si>
  <si>
    <t>2X 5V</t>
  </si>
  <si>
    <t>Load voltage</t>
  </si>
  <si>
    <t>Adv</t>
  </si>
  <si>
    <t>Less compo</t>
  </si>
  <si>
    <t>Min complex</t>
  </si>
  <si>
    <t>STM32F407</t>
  </si>
  <si>
    <t>Page-19</t>
  </si>
  <si>
    <t xml:space="preserve">block </t>
  </si>
  <si>
    <t>Page-24</t>
  </si>
  <si>
    <t xml:space="preserve">Boot pins </t>
  </si>
  <si>
    <t>Page-25</t>
  </si>
  <si>
    <t>PRD ON and Vdd conditions</t>
  </si>
  <si>
    <t>Page-77</t>
  </si>
  <si>
    <t>VDDs, VREF, AVDD, GNDs</t>
  </si>
  <si>
    <t>Caps</t>
  </si>
  <si>
    <t xml:space="preserve">Polar </t>
  </si>
  <si>
    <t xml:space="preserve">Non polar </t>
  </si>
  <si>
    <t>Ceramic</t>
  </si>
  <si>
    <t xml:space="preserve">Class a, Classb </t>
  </si>
  <si>
    <t>Class a (Stable, Low Leackage, Low ESR)</t>
  </si>
  <si>
    <t>MLCC(multilayer ceramic capacitor)</t>
  </si>
  <si>
    <t>Page-82</t>
  </si>
  <si>
    <t>Low esr req. for Vcap1 &amp;2</t>
  </si>
  <si>
    <t>Page-102</t>
  </si>
  <si>
    <t>Crystal req</t>
  </si>
  <si>
    <t>Page-112</t>
  </si>
  <si>
    <t>ESD Ratings</t>
  </si>
  <si>
    <t>Page-119</t>
  </si>
  <si>
    <t>Reset conditions</t>
  </si>
  <si>
    <t xml:space="preserve">Pending </t>
  </si>
  <si>
    <t>PHY RESET</t>
  </si>
  <si>
    <t>GPIO</t>
  </si>
  <si>
    <t xml:space="preserve">Motor driver </t>
  </si>
  <si>
    <t>1 PWM, 3 GPIO, 1ADC _IN</t>
  </si>
  <si>
    <t>X2</t>
  </si>
  <si>
    <t>1GPIO</t>
  </si>
  <si>
    <t>2 GPIO</t>
  </si>
  <si>
    <t>DAC</t>
  </si>
  <si>
    <t>MIC</t>
  </si>
  <si>
    <t>1 PWM 1 GPIO</t>
  </si>
  <si>
    <t xml:space="preserve">Place zener on 1.8 </t>
  </si>
  <si>
    <t>Change net labes motor-2</t>
  </si>
  <si>
    <t>Rules</t>
  </si>
  <si>
    <t>Some Advantages of MultiLayer Board</t>
  </si>
  <si>
    <t>First thing is these rules are not enough, because there can be 100s of Rules for a complex PCB.</t>
  </si>
  <si>
    <t> increases the board's ability to distribute energy</t>
  </si>
  <si>
    <t>1. ground plane boards are better because they allow signal routing in a microstrip or stripline configuration. It also significantly reduces the ground impedance and, therefore, the ground noise;</t>
  </si>
  <si>
    <t> reduces cross-interference, eliminates electromagnetic interference</t>
  </si>
  <si>
    <t>2-high speed signals should be "routed" on intermediate layers located between the various levels. In this way, ground planes can act as a shield and contain the radiation coming from the tracks at high speed</t>
  </si>
  <si>
    <t>supports high-speed signals</t>
  </si>
  <si>
    <t>3- a signal layer must always be adjacent to a plane</t>
  </si>
  <si>
    <t>While a stackup level allows you to get multiple electronic circuits on a single board through the various layers of PCB board</t>
  </si>
  <si>
    <t>4- Multiple ground planes are very advantageous, since they lower the board's ground impedance and reduce radiation in a common way;</t>
  </si>
  <si>
    <t>a stack of PCB layers can help minimize the circuit vulnerability to external noise, as well as minimize radiation and decrease impedance and crosstalk problems on high-speed systems</t>
  </si>
  <si>
    <t>5. the power to Power or GND to GND planes must be rigorously coupled together;</t>
  </si>
  <si>
    <t>good PCB stacking can also contribute to efficient and low-cost final production;</t>
  </si>
  <si>
    <t>6- Configurations should be symmetric. For example, on an eight-layer PCB, if level 2 is a plane, level 7 should also be a plane</t>
  </si>
  <si>
    <t>a correct stack of PCB layers can improve the electromagnetic compatibility of the project.</t>
  </si>
  <si>
    <t>7. Put the signal levels next to the levels of the plane (ground or power) the return current can flow on an adjacent plane reducing the inductance of the return path to a minimum;</t>
  </si>
  <si>
    <t>The higher the number of layers, the more the designer is free to unravel his circuit, with less chance of stumbling into "impossible" solution</t>
  </si>
  <si>
    <t>8. to further improve noise and EMI performance, insulation between a signal layer and its adjacent plane can be made even thinner;</t>
  </si>
  <si>
    <t>9. an important consideration to be done is the thickness of each signal layer. There are standard thicknesses together with the properties of different types of printed circuit material. When selecting the materials, it is advisable to consider their electrical, mechanical and thermal properties;</t>
  </si>
  <si>
    <t>Following Factors we have to thing Before and during the design</t>
  </si>
  <si>
    <t xml:space="preserve">No of Layer </t>
  </si>
  <si>
    <t xml:space="preserve">Number of Planes and Type of Planes </t>
  </si>
  <si>
    <t xml:space="preserve">Sequence of Layers </t>
  </si>
  <si>
    <t>Spacing b/w the Layers</t>
  </si>
  <si>
    <t>Grounding</t>
  </si>
  <si>
    <t>1- Leave nothing unconnected (Fill gnd)</t>
  </si>
  <si>
    <t>2- Never split the gnd under the signal (Multilayer )</t>
  </si>
  <si>
    <t xml:space="preserve">Always connect gnd on common point </t>
  </si>
  <si>
    <t>Minimize the series via (High freq)</t>
  </si>
  <si>
    <t>Try to route GND tracks from the biginning (2 layer , 1 layer)</t>
  </si>
  <si>
    <t>GND to Chasis GND</t>
  </si>
  <si>
    <t>Reason of Chasis should be gnd(To electric shock)</t>
  </si>
  <si>
    <t>Current flow from body</t>
  </si>
  <si>
    <t>higher potential (Body is lower pot)</t>
  </si>
  <si>
    <t>Lets suppose something touching chasis</t>
  </si>
  <si>
    <t>0V at chasis</t>
  </si>
  <si>
    <t>to maintain 0v on chasis we connect it to GND</t>
  </si>
  <si>
    <t>Very Big PCB, (Try to place Low value cap and Mega ohm reg on every monting hole)</t>
  </si>
  <si>
    <t xml:space="preserve">Reverify the schematic </t>
  </si>
  <si>
    <t xml:space="preserve">Differential Tracks </t>
  </si>
  <si>
    <t>Digital tracks</t>
  </si>
  <si>
    <t>Check for each polygon pour</t>
  </si>
  <si>
    <t xml:space="preserve">Critical (Reset, Analogs, sesnors, etc) -Create design rules for Clearance </t>
  </si>
  <si>
    <t>Place all the designators and naming</t>
  </si>
  <si>
    <t>Add a clearance rule for 5mil, adjust all the violations</t>
  </si>
  <si>
    <t>A/unit area</t>
  </si>
  <si>
    <t>Current density, Voltage drop (PDN Analysis)</t>
  </si>
  <si>
    <t>Power Nets</t>
  </si>
  <si>
    <t>3V3</t>
  </si>
  <si>
    <t>1v8</t>
  </si>
  <si>
    <t>Loads</t>
  </si>
  <si>
    <t>12v (Q2), 12V(U9)</t>
  </si>
  <si>
    <t>3V3 (u8),</t>
  </si>
  <si>
    <t>1v8(u6), 3v3(u6,u7),</t>
  </si>
  <si>
    <t>3v3(u5)</t>
  </si>
  <si>
    <t>3v3(u4)</t>
  </si>
  <si>
    <t>12v(q1), 12v(u3)</t>
  </si>
  <si>
    <t>3v3(u2)</t>
  </si>
  <si>
    <t>12v Series element NETC84_2</t>
  </si>
  <si>
    <t>12v Series element NETC90_2</t>
  </si>
  <si>
    <t>3v3 Series load Net c11_2</t>
  </si>
  <si>
    <t>3v3(u1)</t>
  </si>
  <si>
    <t>R19</t>
  </si>
  <si>
    <t>R43</t>
  </si>
  <si>
    <t>All I/O Voltage Nets</t>
  </si>
  <si>
    <t>Loads at different Volatge</t>
  </si>
  <si>
    <t>Series Ele. Netc84_2</t>
  </si>
  <si>
    <t>12V (Q1,Q2), Current Sesnse (R19, R43)</t>
  </si>
  <si>
    <t>NETC84_2 (U10)</t>
  </si>
  <si>
    <t>3V3(U1, U2)</t>
  </si>
  <si>
    <t>MCU</t>
    <phoneticPr fontId="6" type="noConversion"/>
  </si>
  <si>
    <t>GPIO 수</t>
    <phoneticPr fontId="6" type="noConversion"/>
  </si>
  <si>
    <t>I2C 수</t>
    <phoneticPr fontId="6" type="noConversion"/>
  </si>
  <si>
    <t>UART 수</t>
    <phoneticPr fontId="6" type="noConversion"/>
  </si>
  <si>
    <t>Clock</t>
    <phoneticPr fontId="6" type="noConversion"/>
  </si>
  <si>
    <t>Flash 용량</t>
    <phoneticPr fontId="6" type="noConversion"/>
  </si>
  <si>
    <t>RAM</t>
    <phoneticPr fontId="6" type="noConversion"/>
  </si>
  <si>
    <t>VDD</t>
    <phoneticPr fontId="6" type="noConversion"/>
  </si>
  <si>
    <t>제조사</t>
    <phoneticPr fontId="6" type="noConversion"/>
  </si>
  <si>
    <t>비고</t>
    <phoneticPr fontId="6" type="noConversion"/>
  </si>
  <si>
    <t>실제 사양</t>
    <phoneticPr fontId="6" type="noConversion"/>
  </si>
  <si>
    <t>가능여부</t>
    <phoneticPr fontId="6" type="noConversion"/>
  </si>
  <si>
    <t>Debug Environment</t>
    <phoneticPr fontId="6" type="noConversion"/>
  </si>
  <si>
    <t>동일 벤더 디버거</t>
    <phoneticPr fontId="6" type="noConversion"/>
  </si>
  <si>
    <t>동일 사양 버스 필요</t>
    <phoneticPr fontId="6" type="noConversion"/>
  </si>
  <si>
    <t>비트 주소</t>
    <phoneticPr fontId="6" type="noConversion"/>
  </si>
  <si>
    <t>2^비트수</t>
    <phoneticPr fontId="6" type="noConversion"/>
  </si>
  <si>
    <t>Clock 주파수</t>
    <phoneticPr fontId="6" type="noConversion"/>
  </si>
  <si>
    <t>확인사항</t>
    <phoneticPr fontId="6" type="noConversion"/>
  </si>
  <si>
    <t>ST-LINK 계열</t>
    <phoneticPr fontId="6" type="noConversion"/>
  </si>
  <si>
    <t>32bit</t>
    <phoneticPr fontId="6" type="noConversion"/>
  </si>
  <si>
    <t>2^32</t>
    <phoneticPr fontId="6" type="noConversion"/>
  </si>
  <si>
    <t>Prog. Interface</t>
    <phoneticPr fontId="6" type="noConversion"/>
  </si>
  <si>
    <t>SWD방식</t>
    <phoneticPr fontId="6" type="noConversion"/>
  </si>
  <si>
    <t>요구 사항</t>
    <phoneticPr fontId="6" type="noConversion"/>
  </si>
  <si>
    <t>Ethernet PHY</t>
    <phoneticPr fontId="6" type="noConversion"/>
  </si>
  <si>
    <t>Datalink Layer</t>
    <phoneticPr fontId="6" type="noConversion"/>
  </si>
  <si>
    <t>Physical Layer</t>
    <phoneticPr fontId="6" type="noConversion"/>
  </si>
  <si>
    <t>LAN, WAN, Wireless</t>
    <phoneticPr fontId="6" type="noConversion"/>
  </si>
  <si>
    <t>H/W(Raw Data)</t>
    <phoneticPr fontId="6" type="noConversion"/>
  </si>
  <si>
    <t>MAC Address 사용</t>
    <phoneticPr fontId="6" type="noConversion"/>
  </si>
  <si>
    <t>광통신,Twisted Pair</t>
    <phoneticPr fontId="6" type="noConversion"/>
  </si>
  <si>
    <t>MII/RMII</t>
    <phoneticPr fontId="6" type="noConversion"/>
  </si>
  <si>
    <t>Media</t>
    <phoneticPr fontId="6" type="noConversion"/>
  </si>
  <si>
    <t>100Mbits/s</t>
    <phoneticPr fontId="6" type="noConversion"/>
  </si>
  <si>
    <t>https://blog.naver.com/mhyoo1228/221856706981</t>
    <phoneticPr fontId="6" type="noConversion"/>
  </si>
  <si>
    <t>1Gbits/s</t>
    <phoneticPr fontId="6" type="noConversion"/>
  </si>
  <si>
    <t>10Gbits/s</t>
    <phoneticPr fontId="6" type="noConversion"/>
  </si>
  <si>
    <t>MII(신호선 16개)</t>
    <phoneticPr fontId="6" type="noConversion"/>
  </si>
  <si>
    <t>RMII(신호선 7개)</t>
    <phoneticPr fontId="6" type="noConversion"/>
  </si>
  <si>
    <t>GMII(신호선 24개)</t>
    <phoneticPr fontId="6" type="noConversion"/>
  </si>
  <si>
    <t>MII Clock</t>
    <phoneticPr fontId="6" type="noConversion"/>
  </si>
  <si>
    <t>25MHz</t>
    <phoneticPr fontId="6" type="noConversion"/>
  </si>
  <si>
    <t>RMII Clock</t>
    <phoneticPr fontId="6" type="noConversion"/>
  </si>
  <si>
    <t>50MHz</t>
    <phoneticPr fontId="6" type="noConversion"/>
  </si>
  <si>
    <t>Phy</t>
    <phoneticPr fontId="6" type="noConversion"/>
  </si>
  <si>
    <t>드라이버 사용가능</t>
    <phoneticPr fontId="6" type="noConversion"/>
  </si>
  <si>
    <t>UART to USB Converter</t>
    <phoneticPr fontId="6" type="noConversion"/>
  </si>
  <si>
    <t>FT232, CH340C</t>
    <phoneticPr fontId="6" type="noConversion"/>
  </si>
  <si>
    <t>CAN Bus</t>
    <phoneticPr fontId="6" type="noConversion"/>
  </si>
  <si>
    <t>UART</t>
    <phoneticPr fontId="6" type="noConversion"/>
  </si>
  <si>
    <t>Analog To Digital Converter</t>
    <phoneticPr fontId="6" type="noConversion"/>
  </si>
  <si>
    <t>비트 수</t>
    <phoneticPr fontId="6" type="noConversion"/>
  </si>
  <si>
    <t>가변(Package 따라 다름)</t>
    <phoneticPr fontId="6" type="noConversion"/>
  </si>
  <si>
    <t>개발 사양서</t>
    <phoneticPr fontId="6" type="noConversion"/>
  </si>
  <si>
    <t>최대</t>
    <phoneticPr fontId="6" type="noConversion"/>
  </si>
  <si>
    <t>MCU 3.3V</t>
    <phoneticPr fontId="6" type="noConversion"/>
  </si>
  <si>
    <t>미정</t>
    <phoneticPr fontId="6" type="noConversion"/>
  </si>
  <si>
    <t>Reference Regulator</t>
    <phoneticPr fontId="6" type="noConversion"/>
  </si>
  <si>
    <t>Program Gain Amp</t>
    <phoneticPr fontId="6" type="noConversion"/>
  </si>
  <si>
    <t>Sampling Rate</t>
    <phoneticPr fontId="6" type="noConversion"/>
  </si>
  <si>
    <t>100SPS</t>
    <phoneticPr fontId="6" type="noConversion"/>
  </si>
  <si>
    <t>Data +, Data -</t>
    <phoneticPr fontId="6" type="noConversion"/>
  </si>
  <si>
    <t>0 ~ 10mV</t>
    <phoneticPr fontId="6" type="noConversion"/>
  </si>
  <si>
    <t>4-Wire Load Cell</t>
    <phoneticPr fontId="6" type="noConversion"/>
  </si>
  <si>
    <t>CM Voltage</t>
    <phoneticPr fontId="6" type="noConversion"/>
  </si>
  <si>
    <t>5V</t>
    <phoneticPr fontId="6" type="noConversion"/>
  </si>
  <si>
    <t>Sensor(5KG Load Cell)</t>
    <phoneticPr fontId="6" type="noConversion"/>
  </si>
  <si>
    <t>감도</t>
    <phoneticPr fontId="6" type="noConversion"/>
  </si>
  <si>
    <t>1mg/V</t>
    <phoneticPr fontId="6" type="noConversion"/>
  </si>
  <si>
    <t>총 5mg 측정가능</t>
    <phoneticPr fontId="6" type="noConversion"/>
  </si>
  <si>
    <t>인가전압</t>
    <phoneticPr fontId="6" type="noConversion"/>
  </si>
  <si>
    <t>스텝 수</t>
    <phoneticPr fontId="6" type="noConversion"/>
  </si>
  <si>
    <t>필요 ADC 비트</t>
    <phoneticPr fontId="6" type="noConversion"/>
  </si>
  <si>
    <t>20bit이상</t>
    <phoneticPr fontId="6" type="noConversion"/>
  </si>
  <si>
    <t>샘플링 비</t>
    <phoneticPr fontId="6" type="noConversion"/>
  </si>
  <si>
    <t>샘플링 필터</t>
    <phoneticPr fontId="6" type="noConversion"/>
  </si>
  <si>
    <t>채널수</t>
    <phoneticPr fontId="6" type="noConversion"/>
  </si>
  <si>
    <t>1개</t>
    <phoneticPr fontId="6" type="noConversion"/>
  </si>
  <si>
    <t>Positive, Negative</t>
    <phoneticPr fontId="6" type="noConversion"/>
  </si>
  <si>
    <t>UART, I2C, SPI</t>
    <phoneticPr fontId="6" type="noConversion"/>
  </si>
  <si>
    <t>통신</t>
    <phoneticPr fontId="6" type="noConversion"/>
  </si>
  <si>
    <t>ESD, Noise rejection</t>
    <phoneticPr fontId="6" type="noConversion"/>
  </si>
  <si>
    <t>추가기능</t>
    <phoneticPr fontId="6" type="noConversion"/>
  </si>
  <si>
    <t>Noise Free Bits</t>
    <phoneticPr fontId="6" type="noConversion"/>
  </si>
  <si>
    <t>Effective Bits</t>
    <phoneticPr fontId="6" type="noConversion"/>
  </si>
  <si>
    <t>Voltage Level</t>
    <phoneticPr fontId="6" type="noConversion"/>
  </si>
  <si>
    <t>Motor Driver</t>
    <phoneticPr fontId="6" type="noConversion"/>
  </si>
  <si>
    <t>Bi-Directional</t>
    <phoneticPr fontId="6" type="noConversion"/>
  </si>
  <si>
    <t>0-100</t>
    <phoneticPr fontId="6" type="noConversion"/>
  </si>
  <si>
    <t>PWM</t>
    <phoneticPr fontId="6" type="noConversion"/>
  </si>
  <si>
    <t>Motor Input Voltage</t>
    <phoneticPr fontId="6" type="noConversion"/>
  </si>
  <si>
    <t>12V</t>
    <phoneticPr fontId="6" type="noConversion"/>
  </si>
  <si>
    <t>Logic Level H Voltage</t>
    <phoneticPr fontId="6" type="noConversion"/>
  </si>
  <si>
    <t>3.3V</t>
    <phoneticPr fontId="6" type="noConversion"/>
  </si>
  <si>
    <t>Motor Type</t>
    <phoneticPr fontId="6" type="noConversion"/>
  </si>
  <si>
    <t>Brushed DC</t>
    <phoneticPr fontId="6" type="noConversion"/>
  </si>
  <si>
    <t>Power MOSFET</t>
    <phoneticPr fontId="6" type="noConversion"/>
  </si>
  <si>
    <t>규격</t>
    <phoneticPr fontId="6" type="noConversion"/>
  </si>
  <si>
    <t>GPIO 1, PWM 1</t>
    <phoneticPr fontId="6" type="noConversion"/>
  </si>
  <si>
    <t>OVC</t>
    <phoneticPr fontId="6" type="noConversion"/>
  </si>
  <si>
    <t>TR종류</t>
    <phoneticPr fontId="6" type="noConversion"/>
  </si>
  <si>
    <t>전류측정</t>
    <phoneticPr fontId="6" type="noConversion"/>
  </si>
  <si>
    <t>1 ADC</t>
    <phoneticPr fontId="6" type="noConversion"/>
  </si>
  <si>
    <t>가격</t>
    <phoneticPr fontId="6" type="noConversion"/>
  </si>
  <si>
    <t>보호 기능</t>
    <phoneticPr fontId="6" type="noConversion"/>
  </si>
  <si>
    <t>MOSFET</t>
    <phoneticPr fontId="6" type="noConversion"/>
  </si>
  <si>
    <t>Rds(on)</t>
    <phoneticPr fontId="6" type="noConversion"/>
  </si>
  <si>
    <t>작을수록 좋음</t>
    <phoneticPr fontId="6" type="noConversion"/>
  </si>
  <si>
    <t>Id</t>
    <phoneticPr fontId="6" type="noConversion"/>
  </si>
  <si>
    <t>3.5A 초과</t>
    <phoneticPr fontId="6" type="noConversion"/>
  </si>
  <si>
    <t>V(gs)</t>
    <phoneticPr fontId="6" type="noConversion"/>
  </si>
  <si>
    <t>9V 초과</t>
    <phoneticPr fontId="6" type="noConversion"/>
  </si>
  <si>
    <t>Ids(Off)</t>
    <phoneticPr fontId="6" type="noConversion"/>
  </si>
  <si>
    <t>최소</t>
    <phoneticPr fontId="6" type="noConversion"/>
  </si>
  <si>
    <t>Power Disspiation(Pd)</t>
    <phoneticPr fontId="6" type="noConversion"/>
  </si>
  <si>
    <t>I^2*Rds(on)</t>
    <phoneticPr fontId="6" type="noConversion"/>
  </si>
  <si>
    <t>Rth(JA)</t>
    <phoneticPr fontId="6" type="noConversion"/>
  </si>
  <si>
    <t>Temp Min</t>
    <phoneticPr fontId="6" type="noConversion"/>
  </si>
  <si>
    <t>Total gate charge</t>
    <phoneticPr fontId="6" type="noConversion"/>
  </si>
  <si>
    <t>최소(딜레이 문제 생김)</t>
    <phoneticPr fontId="6" type="noConversion"/>
  </si>
  <si>
    <t>Switching Loads(inc) with total gate Charge</t>
    <phoneticPr fontId="6" type="noConversion"/>
  </si>
  <si>
    <t>no elements</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</si>
</sst>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b/>
      <sz val="10"/>
      <name val="Arial"/>
      <family val="2"/>
    </font>
    <font>
      <sz val="18"/>
      <color theme="1"/>
      <name val="맑은 고딕"/>
      <family val="2"/>
      <scheme val="minor"/>
    </font>
    <font>
      <sz val="10"/>
      <name val="Arial"/>
      <family val="2"/>
    </font>
    <font>
      <b/>
      <sz val="16"/>
      <color theme="1"/>
      <name val="맑은 고딕"/>
      <family val="2"/>
      <scheme val="minor"/>
    </font>
    <font>
      <b/>
      <sz val="11"/>
      <color theme="1"/>
      <name val="맑은 고딕"/>
      <family val="2"/>
      <scheme val="minor"/>
    </font>
    <font>
      <sz val="8"/>
      <name val="맑은 고딕"/>
      <family val="3"/>
      <charset val="129"/>
      <scheme val="minor"/>
    </font>
    <font>
      <u/>
      <sz val="11"/>
      <color theme="10"/>
      <name val="맑은 고딕"/>
      <family val="2"/>
      <scheme val="minor"/>
    </font>
  </fonts>
  <fills count="5">
    <fill>
      <patternFill patternType="none"/>
    </fill>
    <fill>
      <patternFill patternType="gray125"/>
    </fill>
    <fill>
      <patternFill patternType="solid">
        <fgColor rgb="FF00FF00"/>
        <bgColor rgb="FF00FF00"/>
      </patternFill>
    </fill>
    <fill>
      <patternFill patternType="solid">
        <fgColor theme="2" tint="-9.9978637043366805E-2"/>
        <bgColor indexed="64"/>
      </patternFill>
    </fill>
    <fill>
      <patternFill patternType="solid">
        <fgColor theme="4" tint="0.59999389629810485"/>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7" fillId="0" borderId="0" applyNumberFormat="0" applyFill="0" applyBorder="0" applyAlignment="0" applyProtection="0"/>
  </cellStyleXfs>
  <cellXfs count="27">
    <xf numFmtId="0" fontId="0" fillId="0" borderId="0" xfId="0"/>
    <xf numFmtId="0" fontId="1" fillId="2" borderId="1" xfId="0" applyFont="1" applyFill="1" applyBorder="1"/>
    <xf numFmtId="0" fontId="0" fillId="0" borderId="2" xfId="0" applyBorder="1"/>
    <xf numFmtId="0" fontId="0" fillId="0" borderId="0" xfId="0" applyAlignment="1">
      <alignment wrapText="1"/>
    </xf>
    <xf numFmtId="0" fontId="0" fillId="0" borderId="0" xfId="0" applyAlignment="1">
      <alignment horizontal="left" wrapText="1"/>
    </xf>
    <xf numFmtId="0" fontId="4" fillId="4" borderId="3" xfId="0" applyFont="1" applyFill="1" applyBorder="1"/>
    <xf numFmtId="0" fontId="2" fillId="3" borderId="4" xfId="0" applyFont="1" applyFill="1" applyBorder="1" applyAlignment="1">
      <alignment horizontal="center"/>
    </xf>
    <xf numFmtId="0" fontId="0" fillId="0" borderId="5" xfId="0" applyBorder="1"/>
    <xf numFmtId="0" fontId="0" fillId="0" borderId="5" xfId="0" applyBorder="1" applyAlignment="1">
      <alignment wrapText="1"/>
    </xf>
    <xf numFmtId="0" fontId="0" fillId="0" borderId="6" xfId="0" applyBorder="1"/>
    <xf numFmtId="0" fontId="0" fillId="0" borderId="7" xfId="0" applyBorder="1" applyAlignment="1">
      <alignment horizontal="left" wrapText="1"/>
    </xf>
    <xf numFmtId="0" fontId="2" fillId="3" borderId="8" xfId="0" applyFont="1" applyFill="1" applyBorder="1" applyAlignment="1">
      <alignment horizontal="center" wrapText="1"/>
    </xf>
    <xf numFmtId="0" fontId="3" fillId="0" borderId="7" xfId="0" applyFont="1" applyBorder="1"/>
    <xf numFmtId="0" fontId="0" fillId="0" borderId="9" xfId="0" applyBorder="1" applyAlignment="1">
      <alignment horizontal="left" wrapText="1"/>
    </xf>
    <xf numFmtId="0" fontId="0" fillId="0" borderId="4" xfId="0" applyBorder="1"/>
    <xf numFmtId="0" fontId="0" fillId="0" borderId="0" xfId="0" applyAlignment="1">
      <alignment horizontal="left"/>
    </xf>
    <xf numFmtId="0" fontId="5" fillId="0" borderId="2" xfId="0" applyFont="1" applyBorder="1"/>
    <xf numFmtId="0" fontId="0" fillId="0" borderId="0" xfId="0" applyAlignment="1">
      <alignment horizontal="left"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vertical="center"/>
    </xf>
    <xf numFmtId="0" fontId="1" fillId="2" borderId="1" xfId="0" applyFont="1" applyFill="1" applyBorder="1" applyAlignment="1">
      <alignment vertical="center"/>
    </xf>
    <xf numFmtId="0" fontId="0" fillId="0" borderId="0" xfId="0" applyAlignment="1">
      <alignment vertical="center"/>
    </xf>
    <xf numFmtId="0" fontId="7" fillId="0" borderId="0" xfId="1" applyAlignment="1">
      <alignment vertical="center"/>
    </xf>
    <xf numFmtId="0" fontId="0" fillId="0" borderId="0" xfId="0" applyAlignment="1">
      <alignment horizontal="lef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log.naver.com/mhyoo1228/22185670698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C7827-D177-44C1-93C8-C705450FADE1}">
  <dimension ref="B1:L85"/>
  <sheetViews>
    <sheetView tabSelected="1" topLeftCell="A48" workbookViewId="0">
      <selection activeCell="D72" sqref="D72"/>
    </sheetView>
  </sheetViews>
  <sheetFormatPr defaultRowHeight="16.5" x14ac:dyDescent="0.3"/>
  <cols>
    <col min="1" max="1" width="20.5" style="22" bestFit="1" customWidth="1"/>
    <col min="2" max="2" width="36" style="22" bestFit="1" customWidth="1"/>
    <col min="3" max="3" width="19.25" style="22" bestFit="1" customWidth="1"/>
    <col min="4" max="5" width="19.25" style="22" customWidth="1"/>
    <col min="6" max="16384" width="9" style="22"/>
  </cols>
  <sheetData>
    <row r="1" spans="2:12" x14ac:dyDescent="0.3"/>
    <row r="2" spans="2:12" x14ac:dyDescent="0.3"/>
    <row r="3" spans="2:12" x14ac:dyDescent="0.3">
      <c r="B3" s="20" t="s">
        <v>431</v>
      </c>
      <c r="C3" s="20"/>
      <c r="D3" s="20"/>
      <c r="E3" s="20"/>
      <c r="F3" s="20"/>
      <c r="G3" s="20"/>
      <c r="H3" s="20"/>
      <c r="I3" s="20"/>
      <c r="J3" s="20"/>
      <c r="K3" s="20"/>
      <c r="L3" s="20"/>
    </row>
    <row r="4" spans="2:12" x14ac:dyDescent="0.3">
      <c r="B4" s="20"/>
      <c r="C4" s="20"/>
      <c r="D4" s="20"/>
      <c r="E4" s="20"/>
      <c r="F4" s="20"/>
      <c r="G4" s="20"/>
      <c r="H4" s="20"/>
      <c r="I4" s="20"/>
      <c r="J4" s="20"/>
      <c r="K4" s="20"/>
      <c r="L4" s="20"/>
    </row>
    <row r="5" spans="2:12" x14ac:dyDescent="0.3">
      <c r="B5" s="21" t="s">
        <v>401</v>
      </c>
      <c r="C5" s="21" t="s">
        <v>395</v>
      </c>
      <c r="D5" s="21" t="s">
        <v>387</v>
      </c>
      <c r="E5" s="21" t="s">
        <v>388</v>
      </c>
      <c r="F5" s="20" t="s">
        <v>385</v>
      </c>
      <c r="G5" s="20"/>
      <c r="H5" s="20"/>
      <c r="I5" s="20" t="s">
        <v>386</v>
      </c>
      <c r="J5" s="20"/>
      <c r="K5" s="20"/>
      <c r="L5" s="20"/>
    </row>
    <row r="6" spans="2:12" x14ac:dyDescent="0.3">
      <c r="B6" s="20" t="s">
        <v>377</v>
      </c>
      <c r="C6" s="22" t="s">
        <v>378</v>
      </c>
      <c r="D6" s="22" t="s">
        <v>430</v>
      </c>
      <c r="F6" s="20"/>
      <c r="G6" s="20"/>
      <c r="H6" s="20"/>
      <c r="I6" s="20"/>
      <c r="J6" s="20"/>
      <c r="K6" s="20"/>
      <c r="L6" s="20"/>
    </row>
    <row r="7" spans="2:12" x14ac:dyDescent="0.3">
      <c r="B7" s="20"/>
      <c r="C7" s="22" t="s">
        <v>379</v>
      </c>
      <c r="D7" s="22" t="s">
        <v>430</v>
      </c>
      <c r="F7" s="20"/>
      <c r="G7" s="20"/>
      <c r="H7" s="20"/>
      <c r="I7" s="20"/>
      <c r="J7" s="20"/>
      <c r="K7" s="20"/>
      <c r="L7" s="20"/>
    </row>
    <row r="8" spans="2:12" x14ac:dyDescent="0.3">
      <c r="B8" s="20"/>
      <c r="C8" s="22" t="s">
        <v>380</v>
      </c>
      <c r="D8" s="22" t="s">
        <v>430</v>
      </c>
      <c r="F8" s="20"/>
      <c r="G8" s="20"/>
      <c r="H8" s="20"/>
      <c r="I8" s="20"/>
      <c r="J8" s="20"/>
      <c r="K8" s="20"/>
      <c r="L8" s="20"/>
    </row>
    <row r="9" spans="2:12" x14ac:dyDescent="0.3">
      <c r="B9" s="20"/>
      <c r="C9" s="22" t="s">
        <v>381</v>
      </c>
      <c r="D9" s="22" t="s">
        <v>432</v>
      </c>
      <c r="F9" s="20"/>
      <c r="G9" s="20"/>
      <c r="H9" s="20"/>
      <c r="I9" s="20"/>
      <c r="J9" s="20"/>
      <c r="K9" s="20"/>
      <c r="L9" s="20"/>
    </row>
    <row r="10" spans="2:12" x14ac:dyDescent="0.3">
      <c r="B10" s="20"/>
      <c r="C10" s="22" t="s">
        <v>382</v>
      </c>
      <c r="D10" s="22" t="s">
        <v>430</v>
      </c>
      <c r="F10" s="20"/>
      <c r="G10" s="20"/>
      <c r="H10" s="20"/>
      <c r="I10" s="20"/>
      <c r="J10" s="20"/>
      <c r="K10" s="20"/>
      <c r="L10" s="20"/>
    </row>
    <row r="11" spans="2:12" x14ac:dyDescent="0.3">
      <c r="B11" s="20"/>
      <c r="C11" s="22" t="s">
        <v>383</v>
      </c>
      <c r="D11" s="22" t="s">
        <v>430</v>
      </c>
      <c r="F11" s="20"/>
      <c r="G11" s="20"/>
      <c r="H11" s="20"/>
      <c r="I11" s="20"/>
      <c r="J11" s="20"/>
      <c r="K11" s="20"/>
      <c r="L11" s="20"/>
    </row>
    <row r="12" spans="2:12" x14ac:dyDescent="0.3">
      <c r="B12" s="20"/>
      <c r="C12" s="22" t="s">
        <v>384</v>
      </c>
      <c r="D12" s="22" t="s">
        <v>433</v>
      </c>
      <c r="F12" s="20"/>
      <c r="G12" s="20"/>
      <c r="H12" s="20"/>
      <c r="I12" s="20"/>
      <c r="J12" s="20"/>
      <c r="K12" s="20"/>
      <c r="L12" s="20"/>
    </row>
    <row r="13" spans="2:12" x14ac:dyDescent="0.3">
      <c r="B13" s="20" t="s">
        <v>389</v>
      </c>
      <c r="C13" s="22" t="s">
        <v>390</v>
      </c>
      <c r="D13" s="22" t="s">
        <v>396</v>
      </c>
      <c r="F13" s="20"/>
      <c r="G13" s="20"/>
      <c r="H13" s="20"/>
      <c r="I13" s="20"/>
      <c r="J13" s="20"/>
      <c r="K13" s="20"/>
      <c r="L13" s="20"/>
    </row>
    <row r="14" spans="2:12" x14ac:dyDescent="0.3">
      <c r="B14" s="20"/>
      <c r="C14" s="22" t="s">
        <v>391</v>
      </c>
      <c r="D14" s="22" t="s">
        <v>397</v>
      </c>
      <c r="F14" s="20"/>
      <c r="G14" s="20"/>
      <c r="H14" s="20"/>
      <c r="I14" s="20"/>
      <c r="J14" s="20"/>
      <c r="K14" s="20"/>
      <c r="L14" s="20"/>
    </row>
    <row r="15" spans="2:12" x14ac:dyDescent="0.3">
      <c r="B15" s="20" t="s">
        <v>392</v>
      </c>
      <c r="C15" s="22" t="s">
        <v>393</v>
      </c>
      <c r="D15" s="22" t="s">
        <v>398</v>
      </c>
      <c r="F15" s="20"/>
      <c r="G15" s="20"/>
      <c r="H15" s="20"/>
      <c r="I15" s="20"/>
      <c r="J15" s="20"/>
      <c r="K15" s="20"/>
      <c r="L15" s="20"/>
    </row>
    <row r="16" spans="2:12" x14ac:dyDescent="0.3">
      <c r="B16" s="20"/>
      <c r="C16" s="22" t="s">
        <v>394</v>
      </c>
      <c r="D16" s="22" t="s">
        <v>434</v>
      </c>
      <c r="F16" s="20"/>
      <c r="G16" s="20"/>
      <c r="H16" s="20"/>
      <c r="I16" s="20"/>
      <c r="J16" s="20"/>
      <c r="K16" s="20"/>
      <c r="L16" s="20"/>
    </row>
    <row r="17" spans="2:12" x14ac:dyDescent="0.3">
      <c r="B17" s="20"/>
      <c r="C17" s="22" t="s">
        <v>399</v>
      </c>
      <c r="D17" s="22" t="s">
        <v>400</v>
      </c>
      <c r="F17" s="20"/>
      <c r="G17" s="20"/>
      <c r="H17" s="20"/>
      <c r="I17" s="20"/>
      <c r="J17" s="20"/>
      <c r="K17" s="20"/>
      <c r="L17" s="20"/>
    </row>
    <row r="18" spans="2:12" x14ac:dyDescent="0.3">
      <c r="B18" s="20" t="s">
        <v>402</v>
      </c>
      <c r="C18" s="22" t="s">
        <v>403</v>
      </c>
      <c r="D18" s="22" t="s">
        <v>405</v>
      </c>
      <c r="E18" s="20" t="s">
        <v>408</v>
      </c>
      <c r="F18" s="20"/>
      <c r="G18" s="20"/>
      <c r="H18" s="20"/>
      <c r="I18" s="20" t="s">
        <v>407</v>
      </c>
      <c r="J18" s="20"/>
      <c r="K18" s="20"/>
      <c r="L18" s="20"/>
    </row>
    <row r="19" spans="2:12" x14ac:dyDescent="0.3">
      <c r="B19" s="20"/>
      <c r="C19" s="22" t="s">
        <v>404</v>
      </c>
      <c r="D19" s="22" t="s">
        <v>406</v>
      </c>
      <c r="E19" s="20"/>
      <c r="F19" s="20"/>
      <c r="G19" s="20"/>
      <c r="H19" s="20"/>
      <c r="I19" s="20"/>
      <c r="J19" s="20"/>
      <c r="K19" s="20"/>
      <c r="L19" s="20"/>
    </row>
    <row r="20" spans="2:12" x14ac:dyDescent="0.3">
      <c r="B20" s="22" t="s">
        <v>409</v>
      </c>
      <c r="C20" s="22" t="s">
        <v>410</v>
      </c>
    </row>
    <row r="21" spans="2:12" x14ac:dyDescent="0.3">
      <c r="B21" s="22" t="s">
        <v>415</v>
      </c>
      <c r="C21" s="26" t="s">
        <v>411</v>
      </c>
      <c r="I21" s="25" t="s">
        <v>412</v>
      </c>
      <c r="J21" s="24"/>
      <c r="K21" s="24"/>
      <c r="L21" s="24"/>
    </row>
    <row r="22" spans="2:12" x14ac:dyDescent="0.3">
      <c r="B22" s="22" t="s">
        <v>416</v>
      </c>
      <c r="C22" s="26" t="s">
        <v>413</v>
      </c>
    </row>
    <row r="23" spans="2:12" x14ac:dyDescent="0.3">
      <c r="B23" s="22" t="s">
        <v>417</v>
      </c>
      <c r="C23" s="26" t="s">
        <v>414</v>
      </c>
    </row>
    <row r="24" spans="2:12" x14ac:dyDescent="0.3">
      <c r="B24" s="22" t="s">
        <v>418</v>
      </c>
      <c r="C24" s="26" t="s">
        <v>419</v>
      </c>
    </row>
    <row r="25" spans="2:12" x14ac:dyDescent="0.3">
      <c r="B25" s="22" t="s">
        <v>420</v>
      </c>
      <c r="C25" s="22" t="s">
        <v>421</v>
      </c>
    </row>
    <row r="26" spans="2:12" x14ac:dyDescent="0.3">
      <c r="B26" s="22" t="s">
        <v>422</v>
      </c>
      <c r="C26" s="22" t="s">
        <v>423</v>
      </c>
    </row>
    <row r="27" spans="2:12" x14ac:dyDescent="0.3"/>
    <row r="28" spans="2:12" x14ac:dyDescent="0.3">
      <c r="B28" s="22" t="s">
        <v>424</v>
      </c>
      <c r="C28" s="22" t="s">
        <v>425</v>
      </c>
    </row>
    <row r="29" spans="2:12" x14ac:dyDescent="0.3">
      <c r="B29" s="22" t="s">
        <v>426</v>
      </c>
    </row>
    <row r="30" spans="2:12" x14ac:dyDescent="0.3">
      <c r="B30" s="22" t="s">
        <v>427</v>
      </c>
    </row>
    <row r="31" spans="2:12" x14ac:dyDescent="0.3">
      <c r="B31" s="22" t="s">
        <v>428</v>
      </c>
      <c r="C31" s="22" t="s">
        <v>429</v>
      </c>
      <c r="D31" s="22">
        <v>24</v>
      </c>
    </row>
    <row r="32" spans="2:12" x14ac:dyDescent="0.3">
      <c r="C32" s="22" t="s">
        <v>435</v>
      </c>
      <c r="D32" s="22" t="s">
        <v>443</v>
      </c>
    </row>
    <row r="33" spans="2:4" x14ac:dyDescent="0.3">
      <c r="C33" s="22" t="s">
        <v>436</v>
      </c>
      <c r="D33" s="22">
        <v>128</v>
      </c>
    </row>
    <row r="34" spans="2:4" x14ac:dyDescent="0.3">
      <c r="C34" s="22" t="s">
        <v>437</v>
      </c>
      <c r="D34" s="22" t="s">
        <v>438</v>
      </c>
    </row>
    <row r="35" spans="2:4" x14ac:dyDescent="0.3">
      <c r="C35" s="22" t="s">
        <v>439</v>
      </c>
      <c r="D35" s="22" t="s">
        <v>440</v>
      </c>
    </row>
    <row r="36" spans="2:4" x14ac:dyDescent="0.3">
      <c r="B36" s="22" t="s">
        <v>441</v>
      </c>
      <c r="C36" s="22" t="s">
        <v>442</v>
      </c>
      <c r="D36" s="22" t="s">
        <v>443</v>
      </c>
    </row>
    <row r="38" spans="2:4" x14ac:dyDescent="0.3">
      <c r="B38" s="22" t="s">
        <v>444</v>
      </c>
    </row>
    <row r="39" spans="2:4" x14ac:dyDescent="0.3">
      <c r="B39" s="22" t="s">
        <v>445</v>
      </c>
      <c r="C39" s="22" t="s">
        <v>446</v>
      </c>
      <c r="D39" s="22" t="s">
        <v>447</v>
      </c>
    </row>
    <row r="40" spans="2:4" x14ac:dyDescent="0.3">
      <c r="B40" s="22" t="s">
        <v>448</v>
      </c>
      <c r="C40" s="22" t="s">
        <v>443</v>
      </c>
    </row>
    <row r="41" spans="2:4" x14ac:dyDescent="0.3">
      <c r="B41" s="22" t="s">
        <v>449</v>
      </c>
      <c r="C41" s="22">
        <f>5000/0.005</f>
        <v>1000000</v>
      </c>
    </row>
    <row r="42" spans="2:4" x14ac:dyDescent="0.3">
      <c r="B42" s="22" t="s">
        <v>450</v>
      </c>
      <c r="C42" s="22" t="s">
        <v>451</v>
      </c>
    </row>
    <row r="43" spans="2:4" x14ac:dyDescent="0.3"/>
    <row r="44" spans="2:4" x14ac:dyDescent="0.3">
      <c r="B44" s="22" t="s">
        <v>452</v>
      </c>
    </row>
    <row r="45" spans="2:4" x14ac:dyDescent="0.3">
      <c r="B45" s="22" t="s">
        <v>453</v>
      </c>
    </row>
    <row r="46" spans="2:4" x14ac:dyDescent="0.3">
      <c r="B46" s="22" t="s">
        <v>454</v>
      </c>
      <c r="C46" s="22" t="s">
        <v>455</v>
      </c>
      <c r="D46" s="22" t="s">
        <v>456</v>
      </c>
    </row>
    <row r="47" spans="2:4" x14ac:dyDescent="0.3">
      <c r="B47" s="22" t="s">
        <v>458</v>
      </c>
      <c r="C47" s="22" t="s">
        <v>457</v>
      </c>
    </row>
    <row r="48" spans="2:4" x14ac:dyDescent="0.3">
      <c r="B48" s="22" t="s">
        <v>460</v>
      </c>
      <c r="C48" s="22" t="s">
        <v>459</v>
      </c>
    </row>
    <row r="49" spans="2:4" x14ac:dyDescent="0.3">
      <c r="B49" s="22" t="s">
        <v>461</v>
      </c>
    </row>
    <row r="50" spans="2:4" x14ac:dyDescent="0.3">
      <c r="B50" s="22" t="s">
        <v>462</v>
      </c>
    </row>
    <row r="51" spans="2:4" x14ac:dyDescent="0.3">
      <c r="B51" s="22" t="s">
        <v>463</v>
      </c>
    </row>
    <row r="52" spans="2:4" x14ac:dyDescent="0.3"/>
    <row r="53" spans="2:4" x14ac:dyDescent="0.3">
      <c r="B53" s="22" t="s">
        <v>464</v>
      </c>
      <c r="C53" s="22" t="s">
        <v>465</v>
      </c>
    </row>
    <row r="54" spans="2:4" x14ac:dyDescent="0.3">
      <c r="C54" s="22" t="s">
        <v>466</v>
      </c>
      <c r="D54" s="22" t="s">
        <v>467</v>
      </c>
    </row>
    <row r="55" spans="2:4" x14ac:dyDescent="0.3">
      <c r="C55" s="22" t="s">
        <v>468</v>
      </c>
      <c r="D55" s="22" t="s">
        <v>469</v>
      </c>
    </row>
    <row r="56" spans="2:4" x14ac:dyDescent="0.3">
      <c r="C56" s="22" t="s">
        <v>470</v>
      </c>
      <c r="D56" s="22" t="s">
        <v>471</v>
      </c>
    </row>
    <row r="57" spans="2:4" x14ac:dyDescent="0.3">
      <c r="C57" s="22" t="s">
        <v>472</v>
      </c>
      <c r="D57" s="22" t="s">
        <v>473</v>
      </c>
    </row>
    <row r="58" spans="2:4" x14ac:dyDescent="0.3">
      <c r="C58" s="22" t="s">
        <v>478</v>
      </c>
      <c r="D58" s="22" t="s">
        <v>474</v>
      </c>
    </row>
    <row r="59" spans="2:4" x14ac:dyDescent="0.3">
      <c r="C59" s="22" t="s">
        <v>475</v>
      </c>
      <c r="D59" s="22" t="s">
        <v>476</v>
      </c>
    </row>
    <row r="60" spans="2:4" x14ac:dyDescent="0.3">
      <c r="C60" s="22" t="s">
        <v>482</v>
      </c>
      <c r="D60" s="22" t="s">
        <v>477</v>
      </c>
    </row>
    <row r="61" spans="2:4" x14ac:dyDescent="0.3">
      <c r="C61" s="22" t="s">
        <v>479</v>
      </c>
      <c r="D61" s="22" t="s">
        <v>480</v>
      </c>
    </row>
    <row r="62" spans="2:4" x14ac:dyDescent="0.3">
      <c r="C62" s="22" t="s">
        <v>481</v>
      </c>
    </row>
    <row r="63" spans="2:4" x14ac:dyDescent="0.3"/>
    <row r="64" spans="2:4" x14ac:dyDescent="0.3">
      <c r="B64" s="22" t="s">
        <v>483</v>
      </c>
      <c r="C64" s="22" t="s">
        <v>484</v>
      </c>
      <c r="D64" s="22" t="s">
        <v>485</v>
      </c>
    </row>
    <row r="65" spans="3:4" x14ac:dyDescent="0.3">
      <c r="C65" s="22" t="s">
        <v>486</v>
      </c>
      <c r="D65" s="22" t="s">
        <v>487</v>
      </c>
    </row>
    <row r="66" spans="3:4" x14ac:dyDescent="0.3">
      <c r="C66" s="22" t="s">
        <v>488</v>
      </c>
      <c r="D66" s="22" t="s">
        <v>489</v>
      </c>
    </row>
    <row r="67" spans="3:4" x14ac:dyDescent="0.3">
      <c r="C67" s="22" t="s">
        <v>490</v>
      </c>
      <c r="D67" s="22" t="s">
        <v>491</v>
      </c>
    </row>
    <row r="68" spans="3:4" x14ac:dyDescent="0.3">
      <c r="C68" s="22" t="s">
        <v>492</v>
      </c>
      <c r="D68" s="22" t="s">
        <v>493</v>
      </c>
    </row>
    <row r="69" spans="3:4" x14ac:dyDescent="0.3">
      <c r="C69" s="22" t="s">
        <v>494</v>
      </c>
      <c r="D69" s="22" t="s">
        <v>495</v>
      </c>
    </row>
    <row r="70" spans="3:4" x14ac:dyDescent="0.3">
      <c r="C70" s="22" t="s">
        <v>496</v>
      </c>
      <c r="D70" s="22" t="s">
        <v>497</v>
      </c>
    </row>
    <row r="71" spans="3:4" x14ac:dyDescent="0.3">
      <c r="C71" s="22" t="s">
        <v>498</v>
      </c>
    </row>
    <row r="72" spans="3:4" x14ac:dyDescent="0.3">
      <c r="C72" s="22" t="s">
        <v>499</v>
      </c>
    </row>
    <row r="73" spans="3:4" x14ac:dyDescent="0.3"/>
    <row r="74" spans="3:4" x14ac:dyDescent="0.3"/>
    <row r="75" spans="3:4" x14ac:dyDescent="0.3"/>
    <row r="76" spans="3:4" x14ac:dyDescent="0.3"/>
    <row r="78" spans="3:4" x14ac:dyDescent="0.3"/>
    <row r="79" spans="3:4" x14ac:dyDescent="0.3"/>
    <row r="80" spans="3:4" x14ac:dyDescent="0.3"/>
    <row r="81" spans="2:2" x14ac:dyDescent="0.3"/>
    <row r="82" spans="2:2" x14ac:dyDescent="0.3"/>
    <row r="83" spans="2:2" x14ac:dyDescent="0.3"/>
    <row r="84" spans="2:2" x14ac:dyDescent="0.3">
      <c r="B84" s="23"/>
    </row>
    <row r="85" spans="2:2" x14ac:dyDescent="0.3"/>
  </sheetData>
  <mergeCells count="27">
    <mergeCell ref="I13:L14"/>
    <mergeCell ref="I15:L17"/>
    <mergeCell ref="E18:E19"/>
    <mergeCell ref="I21:L21"/>
    <mergeCell ref="I18:L19"/>
    <mergeCell ref="F19:H19"/>
    <mergeCell ref="F13:H13"/>
    <mergeCell ref="F14:H14"/>
    <mergeCell ref="F15:H15"/>
    <mergeCell ref="F16:H16"/>
    <mergeCell ref="F17:H17"/>
    <mergeCell ref="F18:H18"/>
    <mergeCell ref="B13:B14"/>
    <mergeCell ref="B15:B17"/>
    <mergeCell ref="B18:B19"/>
    <mergeCell ref="F6:H6"/>
    <mergeCell ref="F7:H7"/>
    <mergeCell ref="F8:H8"/>
    <mergeCell ref="F9:H9"/>
    <mergeCell ref="F10:H10"/>
    <mergeCell ref="F11:H11"/>
    <mergeCell ref="F12:H12"/>
    <mergeCell ref="B3:L4"/>
    <mergeCell ref="F5:H5"/>
    <mergeCell ref="I5:L5"/>
    <mergeCell ref="B6:B12"/>
    <mergeCell ref="I6:L12"/>
  </mergeCells>
  <phoneticPr fontId="6" type="noConversion"/>
  <hyperlinks>
    <hyperlink ref="I21" r:id="rId1" xr:uid="{3A918356-1AE5-40E2-9C47-D9D133E82B5D}"/>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5"/>
  <sheetViews>
    <sheetView topLeftCell="A61" workbookViewId="0">
      <selection activeCell="B9" sqref="B9"/>
    </sheetView>
  </sheetViews>
  <sheetFormatPr defaultRowHeight="16.5" x14ac:dyDescent="0.3"/>
  <cols>
    <col min="1" max="1" width="20.5" bestFit="1" customWidth="1"/>
    <col min="2" max="2" width="36" bestFit="1" customWidth="1"/>
    <col min="3" max="3" width="19.25" bestFit="1" customWidth="1"/>
  </cols>
  <sheetData>
    <row r="1" spans="1:4" x14ac:dyDescent="0.3">
      <c r="A1" t="s">
        <v>0</v>
      </c>
      <c r="C1" t="s">
        <v>4</v>
      </c>
      <c r="D1" t="s">
        <v>19</v>
      </c>
    </row>
    <row r="2" spans="1:4" x14ac:dyDescent="0.3">
      <c r="B2" t="s">
        <v>1</v>
      </c>
      <c r="C2" t="s">
        <v>8</v>
      </c>
    </row>
    <row r="3" spans="1:4" x14ac:dyDescent="0.3">
      <c r="B3" t="s">
        <v>2</v>
      </c>
      <c r="C3" t="s">
        <v>9</v>
      </c>
    </row>
    <row r="4" spans="1:4" x14ac:dyDescent="0.3">
      <c r="B4" t="s">
        <v>3</v>
      </c>
      <c r="C4" t="s">
        <v>10</v>
      </c>
    </row>
    <row r="5" spans="1:4" x14ac:dyDescent="0.3">
      <c r="B5" t="s">
        <v>5</v>
      </c>
      <c r="C5" t="s">
        <v>11</v>
      </c>
    </row>
    <row r="6" spans="1:4" x14ac:dyDescent="0.3">
      <c r="B6" t="s">
        <v>6</v>
      </c>
    </row>
    <row r="7" spans="1:4" x14ac:dyDescent="0.3">
      <c r="B7" t="s">
        <v>7</v>
      </c>
    </row>
    <row r="8" spans="1:4" x14ac:dyDescent="0.3">
      <c r="A8" t="s">
        <v>12</v>
      </c>
      <c r="B8" t="s">
        <v>13</v>
      </c>
    </row>
    <row r="9" spans="1:4" x14ac:dyDescent="0.3">
      <c r="B9" t="s">
        <v>14</v>
      </c>
    </row>
    <row r="10" spans="1:4" x14ac:dyDescent="0.3">
      <c r="A10" t="s">
        <v>15</v>
      </c>
      <c r="B10" t="s">
        <v>16</v>
      </c>
    </row>
    <row r="11" spans="1:4" x14ac:dyDescent="0.3">
      <c r="B11" t="s">
        <v>17</v>
      </c>
    </row>
    <row r="12" spans="1:4" x14ac:dyDescent="0.3">
      <c r="B12" t="s">
        <v>18</v>
      </c>
    </row>
    <row r="14" spans="1:4" x14ac:dyDescent="0.3">
      <c r="A14" t="s">
        <v>20</v>
      </c>
      <c r="B14" t="s">
        <v>21</v>
      </c>
    </row>
    <row r="15" spans="1:4" x14ac:dyDescent="0.3">
      <c r="B15" t="s">
        <v>22</v>
      </c>
    </row>
    <row r="16" spans="1:4" x14ac:dyDescent="0.3">
      <c r="A16" t="s">
        <v>23</v>
      </c>
      <c r="B16" t="s">
        <v>24</v>
      </c>
    </row>
    <row r="17" spans="1:3" x14ac:dyDescent="0.3">
      <c r="A17" t="s">
        <v>25</v>
      </c>
      <c r="B17" t="s">
        <v>27</v>
      </c>
    </row>
    <row r="18" spans="1:3" x14ac:dyDescent="0.3">
      <c r="A18" t="s">
        <v>26</v>
      </c>
      <c r="B18" t="s">
        <v>29</v>
      </c>
    </row>
    <row r="19" spans="1:3" x14ac:dyDescent="0.3">
      <c r="A19" t="s">
        <v>28</v>
      </c>
      <c r="B19" t="s">
        <v>30</v>
      </c>
    </row>
    <row r="20" spans="1:3" x14ac:dyDescent="0.3">
      <c r="A20" t="s">
        <v>31</v>
      </c>
      <c r="B20" t="s">
        <v>32</v>
      </c>
    </row>
    <row r="21" spans="1:3" x14ac:dyDescent="0.3">
      <c r="A21" t="s">
        <v>33</v>
      </c>
      <c r="B21" t="s">
        <v>34</v>
      </c>
    </row>
    <row r="23" spans="1:3" x14ac:dyDescent="0.3">
      <c r="A23" t="s">
        <v>35</v>
      </c>
      <c r="B23" t="s">
        <v>36</v>
      </c>
    </row>
    <row r="25" spans="1:3" x14ac:dyDescent="0.3">
      <c r="A25" t="s">
        <v>37</v>
      </c>
      <c r="B25" t="s">
        <v>38</v>
      </c>
      <c r="C25">
        <v>24</v>
      </c>
    </row>
    <row r="26" spans="1:3" x14ac:dyDescent="0.3">
      <c r="B26" t="s">
        <v>39</v>
      </c>
      <c r="C26" t="s">
        <v>47</v>
      </c>
    </row>
    <row r="27" spans="1:3" x14ac:dyDescent="0.3">
      <c r="B27" t="s">
        <v>40</v>
      </c>
      <c r="C27">
        <v>128</v>
      </c>
    </row>
    <row r="28" spans="1:3" x14ac:dyDescent="0.3">
      <c r="B28" t="s">
        <v>41</v>
      </c>
      <c r="C28" t="s">
        <v>42</v>
      </c>
    </row>
    <row r="29" spans="1:3" x14ac:dyDescent="0.3">
      <c r="B29" t="s">
        <v>43</v>
      </c>
      <c r="C29" t="s">
        <v>44</v>
      </c>
    </row>
    <row r="30" spans="1:3" x14ac:dyDescent="0.3">
      <c r="A30" t="s">
        <v>45</v>
      </c>
      <c r="B30" t="s">
        <v>46</v>
      </c>
      <c r="C30" t="s">
        <v>47</v>
      </c>
    </row>
    <row r="32" spans="1:3" x14ac:dyDescent="0.3">
      <c r="A32" t="s">
        <v>48</v>
      </c>
    </row>
    <row r="33" spans="1:3" x14ac:dyDescent="0.3">
      <c r="A33" t="s">
        <v>49</v>
      </c>
      <c r="B33" t="s">
        <v>50</v>
      </c>
      <c r="C33" t="s">
        <v>53</v>
      </c>
    </row>
    <row r="34" spans="1:3" x14ac:dyDescent="0.3">
      <c r="A34" t="s">
        <v>51</v>
      </c>
      <c r="B34" t="s">
        <v>52</v>
      </c>
    </row>
    <row r="35" spans="1:3" x14ac:dyDescent="0.3">
      <c r="A35" t="s">
        <v>54</v>
      </c>
      <c r="B35">
        <f>5000/0.005</f>
        <v>1000000</v>
      </c>
    </row>
    <row r="36" spans="1:3" x14ac:dyDescent="0.3">
      <c r="A36" t="s">
        <v>55</v>
      </c>
      <c r="B36">
        <v>20</v>
      </c>
    </row>
    <row r="38" spans="1:3" x14ac:dyDescent="0.3">
      <c r="A38" t="s">
        <v>56</v>
      </c>
      <c r="B38" t="s">
        <v>58</v>
      </c>
    </row>
    <row r="39" spans="1:3" x14ac:dyDescent="0.3">
      <c r="A39" t="s">
        <v>57</v>
      </c>
    </row>
    <row r="40" spans="1:3" x14ac:dyDescent="0.3">
      <c r="A40" t="s">
        <v>59</v>
      </c>
      <c r="B40" t="s">
        <v>60</v>
      </c>
    </row>
    <row r="41" spans="1:3" x14ac:dyDescent="0.3">
      <c r="A41" t="s">
        <v>61</v>
      </c>
      <c r="B41" t="s">
        <v>62</v>
      </c>
    </row>
    <row r="42" spans="1:3" x14ac:dyDescent="0.3">
      <c r="A42" t="s">
        <v>63</v>
      </c>
      <c r="B42" t="s">
        <v>64</v>
      </c>
    </row>
    <row r="43" spans="1:3" x14ac:dyDescent="0.3">
      <c r="A43" t="s">
        <v>65</v>
      </c>
    </row>
    <row r="44" spans="1:3" x14ac:dyDescent="0.3">
      <c r="A44" t="s">
        <v>66</v>
      </c>
    </row>
    <row r="45" spans="1:3" x14ac:dyDescent="0.3">
      <c r="A45" t="s">
        <v>67</v>
      </c>
    </row>
    <row r="47" spans="1:3" x14ac:dyDescent="0.3">
      <c r="A47" t="s">
        <v>68</v>
      </c>
      <c r="B47" t="s">
        <v>69</v>
      </c>
    </row>
    <row r="48" spans="1:3" x14ac:dyDescent="0.3">
      <c r="B48" t="s">
        <v>70</v>
      </c>
      <c r="C48" t="s">
        <v>71</v>
      </c>
    </row>
    <row r="49" spans="1:4" x14ac:dyDescent="0.3">
      <c r="B49" t="s">
        <v>72</v>
      </c>
      <c r="C49" t="s">
        <v>73</v>
      </c>
    </row>
    <row r="50" spans="1:4" x14ac:dyDescent="0.3">
      <c r="B50" t="s">
        <v>74</v>
      </c>
      <c r="C50" t="s">
        <v>75</v>
      </c>
    </row>
    <row r="51" spans="1:4" x14ac:dyDescent="0.3">
      <c r="B51" t="s">
        <v>76</v>
      </c>
      <c r="C51" t="s">
        <v>77</v>
      </c>
    </row>
    <row r="52" spans="1:4" x14ac:dyDescent="0.3">
      <c r="B52" t="s">
        <v>78</v>
      </c>
      <c r="C52" t="s">
        <v>79</v>
      </c>
    </row>
    <row r="53" spans="1:4" x14ac:dyDescent="0.3">
      <c r="B53" t="s">
        <v>80</v>
      </c>
      <c r="C53" t="s">
        <v>81</v>
      </c>
    </row>
    <row r="54" spans="1:4" x14ac:dyDescent="0.3">
      <c r="B54" t="s">
        <v>82</v>
      </c>
      <c r="C54" t="s">
        <v>83</v>
      </c>
    </row>
    <row r="55" spans="1:4" x14ac:dyDescent="0.3">
      <c r="B55" t="s">
        <v>84</v>
      </c>
      <c r="C55" t="s">
        <v>85</v>
      </c>
    </row>
    <row r="56" spans="1:4" x14ac:dyDescent="0.3">
      <c r="B56" t="s">
        <v>86</v>
      </c>
    </row>
    <row r="58" spans="1:4" x14ac:dyDescent="0.3">
      <c r="A58" t="s">
        <v>87</v>
      </c>
      <c r="B58" t="s">
        <v>88</v>
      </c>
      <c r="C58" t="s">
        <v>89</v>
      </c>
    </row>
    <row r="59" spans="1:4" x14ac:dyDescent="0.3">
      <c r="B59" t="s">
        <v>90</v>
      </c>
      <c r="C59" t="s">
        <v>91</v>
      </c>
    </row>
    <row r="60" spans="1:4" x14ac:dyDescent="0.3">
      <c r="B60" t="s">
        <v>92</v>
      </c>
      <c r="C60" t="s">
        <v>93</v>
      </c>
    </row>
    <row r="61" spans="1:4" x14ac:dyDescent="0.3">
      <c r="B61" t="s">
        <v>94</v>
      </c>
      <c r="C61" t="s">
        <v>95</v>
      </c>
    </row>
    <row r="62" spans="1:4" x14ac:dyDescent="0.3">
      <c r="B62" t="s">
        <v>96</v>
      </c>
      <c r="C62" t="s">
        <v>97</v>
      </c>
    </row>
    <row r="63" spans="1:4" x14ac:dyDescent="0.3">
      <c r="B63" t="s">
        <v>98</v>
      </c>
      <c r="C63" t="s">
        <v>95</v>
      </c>
    </row>
    <row r="64" spans="1:4" x14ac:dyDescent="0.3">
      <c r="B64" t="s">
        <v>99</v>
      </c>
      <c r="C64" t="s">
        <v>100</v>
      </c>
      <c r="D64" t="s">
        <v>101</v>
      </c>
    </row>
    <row r="65" spans="1:3" x14ac:dyDescent="0.3">
      <c r="B65" t="s">
        <v>102</v>
      </c>
    </row>
    <row r="66" spans="1:3" x14ac:dyDescent="0.3">
      <c r="B66" t="s">
        <v>103</v>
      </c>
      <c r="C66">
        <v>4</v>
      </c>
    </row>
    <row r="68" spans="1:3" x14ac:dyDescent="0.3">
      <c r="A68" t="s">
        <v>104</v>
      </c>
      <c r="B68" t="s">
        <v>41</v>
      </c>
      <c r="C68" t="s">
        <v>105</v>
      </c>
    </row>
    <row r="69" spans="1:3" x14ac:dyDescent="0.3">
      <c r="B69" t="s">
        <v>106</v>
      </c>
      <c r="C69">
        <v>1</v>
      </c>
    </row>
    <row r="70" spans="1:3" x14ac:dyDescent="0.3">
      <c r="B70" t="s">
        <v>107</v>
      </c>
      <c r="C70" t="s">
        <v>108</v>
      </c>
    </row>
    <row r="71" spans="1:3" x14ac:dyDescent="0.3">
      <c r="B71" t="s">
        <v>109</v>
      </c>
      <c r="C71" t="s">
        <v>110</v>
      </c>
    </row>
    <row r="72" spans="1:3" x14ac:dyDescent="0.3">
      <c r="B72" t="s">
        <v>111</v>
      </c>
      <c r="C72" t="s">
        <v>112</v>
      </c>
    </row>
    <row r="73" spans="1:3" x14ac:dyDescent="0.3">
      <c r="B73" t="s">
        <v>113</v>
      </c>
      <c r="C73" t="s">
        <v>114</v>
      </c>
    </row>
    <row r="74" spans="1:3" x14ac:dyDescent="0.3">
      <c r="B74" t="s">
        <v>115</v>
      </c>
      <c r="C74">
        <v>1</v>
      </c>
    </row>
    <row r="75" spans="1:3" x14ac:dyDescent="0.3">
      <c r="B75" t="s">
        <v>116</v>
      </c>
    </row>
    <row r="76" spans="1:3" x14ac:dyDescent="0.3">
      <c r="B76" t="s">
        <v>117</v>
      </c>
      <c r="C76" t="s">
        <v>118</v>
      </c>
    </row>
    <row r="78" spans="1:3" x14ac:dyDescent="0.3">
      <c r="A78" t="s">
        <v>119</v>
      </c>
      <c r="B78" t="s">
        <v>120</v>
      </c>
    </row>
    <row r="79" spans="1:3" x14ac:dyDescent="0.3">
      <c r="A79" t="s">
        <v>121</v>
      </c>
      <c r="B79" t="s">
        <v>122</v>
      </c>
    </row>
    <row r="80" spans="1:3" x14ac:dyDescent="0.3">
      <c r="A80" t="s">
        <v>20</v>
      </c>
      <c r="B80" t="s">
        <v>123</v>
      </c>
    </row>
    <row r="81" spans="1:2" x14ac:dyDescent="0.3">
      <c r="A81" t="s">
        <v>124</v>
      </c>
      <c r="B81" t="s">
        <v>125</v>
      </c>
    </row>
    <row r="82" spans="1:2" x14ac:dyDescent="0.3">
      <c r="A82" t="s">
        <v>126</v>
      </c>
      <c r="B82" t="s">
        <v>127</v>
      </c>
    </row>
    <row r="83" spans="1:2" x14ac:dyDescent="0.3">
      <c r="A83" t="s">
        <v>128</v>
      </c>
      <c r="B83" t="s">
        <v>129</v>
      </c>
    </row>
    <row r="84" spans="1:2" x14ac:dyDescent="0.3">
      <c r="A84" t="s">
        <v>130</v>
      </c>
      <c r="B84" s="1" t="s">
        <v>131</v>
      </c>
    </row>
    <row r="85" spans="1:2" x14ac:dyDescent="0.3">
      <c r="A85" t="s">
        <v>132</v>
      </c>
    </row>
  </sheetData>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election activeCell="C11" sqref="C11"/>
    </sheetView>
  </sheetViews>
  <sheetFormatPr defaultRowHeight="16.5" x14ac:dyDescent="0.3"/>
  <cols>
    <col min="1" max="1" width="26.125" bestFit="1" customWidth="1"/>
    <col min="3" max="3" width="30.125" customWidth="1"/>
  </cols>
  <sheetData>
    <row r="1" spans="1:3" x14ac:dyDescent="0.3">
      <c r="A1" t="s">
        <v>133</v>
      </c>
      <c r="B1" t="s">
        <v>134</v>
      </c>
      <c r="C1" t="s">
        <v>135</v>
      </c>
    </row>
    <row r="2" spans="1:3" x14ac:dyDescent="0.3">
      <c r="B2" t="s">
        <v>136</v>
      </c>
      <c r="C2" t="s">
        <v>137</v>
      </c>
    </row>
    <row r="3" spans="1:3" x14ac:dyDescent="0.3">
      <c r="B3" t="s">
        <v>138</v>
      </c>
      <c r="C3" t="s">
        <v>139</v>
      </c>
    </row>
    <row r="4" spans="1:3" x14ac:dyDescent="0.3">
      <c r="B4" t="s">
        <v>140</v>
      </c>
      <c r="C4" t="s">
        <v>141</v>
      </c>
    </row>
    <row r="5" spans="1:3" x14ac:dyDescent="0.3">
      <c r="B5" t="s">
        <v>142</v>
      </c>
      <c r="C5" t="s">
        <v>143</v>
      </c>
    </row>
    <row r="6" spans="1:3" x14ac:dyDescent="0.3">
      <c r="B6" t="s">
        <v>144</v>
      </c>
      <c r="C6" t="s">
        <v>145</v>
      </c>
    </row>
    <row r="7" spans="1:3" x14ac:dyDescent="0.3">
      <c r="B7" t="s">
        <v>146</v>
      </c>
      <c r="C7" t="s">
        <v>147</v>
      </c>
    </row>
    <row r="8" spans="1:3" x14ac:dyDescent="0.3">
      <c r="B8" t="s">
        <v>148</v>
      </c>
      <c r="C8" t="s">
        <v>157</v>
      </c>
    </row>
    <row r="9" spans="1:3" x14ac:dyDescent="0.3">
      <c r="B9" t="s">
        <v>149</v>
      </c>
      <c r="C9" t="s">
        <v>150</v>
      </c>
    </row>
    <row r="10" spans="1:3" x14ac:dyDescent="0.3">
      <c r="B10" t="s">
        <v>151</v>
      </c>
      <c r="C10" t="s">
        <v>152</v>
      </c>
    </row>
    <row r="11" spans="1:3" x14ac:dyDescent="0.3">
      <c r="B11" t="s">
        <v>153</v>
      </c>
      <c r="C11" t="s">
        <v>154</v>
      </c>
    </row>
    <row r="12" spans="1:3" x14ac:dyDescent="0.3">
      <c r="B12" t="s">
        <v>155</v>
      </c>
      <c r="C12" t="s">
        <v>156</v>
      </c>
    </row>
    <row r="14" spans="1:3" x14ac:dyDescent="0.3">
      <c r="A14" t="s">
        <v>158</v>
      </c>
    </row>
    <row r="15" spans="1:3" x14ac:dyDescent="0.3">
      <c r="A15" t="s">
        <v>164</v>
      </c>
      <c r="B15" t="s">
        <v>159</v>
      </c>
      <c r="C15" t="s">
        <v>161</v>
      </c>
    </row>
    <row r="16" spans="1:3" x14ac:dyDescent="0.3">
      <c r="B16" t="s">
        <v>160</v>
      </c>
    </row>
    <row r="17" spans="1:2" x14ac:dyDescent="0.3">
      <c r="A17" t="s">
        <v>163</v>
      </c>
      <c r="B17" t="s">
        <v>162</v>
      </c>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2"/>
  <sheetViews>
    <sheetView topLeftCell="A16" workbookViewId="0">
      <selection activeCell="B35" sqref="B35"/>
    </sheetView>
  </sheetViews>
  <sheetFormatPr defaultRowHeight="16.5" x14ac:dyDescent="0.3"/>
  <cols>
    <col min="1" max="1" width="21.75" customWidth="1"/>
    <col min="2" max="2" width="20.25" customWidth="1"/>
    <col min="3" max="3" width="23.25" bestFit="1" customWidth="1"/>
  </cols>
  <sheetData>
    <row r="1" spans="1:3" x14ac:dyDescent="0.3">
      <c r="A1" t="s">
        <v>165</v>
      </c>
      <c r="B1" t="s">
        <v>166</v>
      </c>
    </row>
    <row r="2" spans="1:3" x14ac:dyDescent="0.3">
      <c r="A2" t="s">
        <v>178</v>
      </c>
      <c r="B2" t="s">
        <v>167</v>
      </c>
      <c r="C2" t="s">
        <v>176</v>
      </c>
    </row>
    <row r="3" spans="1:3" x14ac:dyDescent="0.3">
      <c r="B3" t="s">
        <v>168</v>
      </c>
      <c r="C3" t="s">
        <v>177</v>
      </c>
    </row>
    <row r="4" spans="1:3" x14ac:dyDescent="0.3">
      <c r="B4" t="s">
        <v>169</v>
      </c>
    </row>
    <row r="5" spans="1:3" x14ac:dyDescent="0.3">
      <c r="B5" t="s">
        <v>170</v>
      </c>
      <c r="C5" t="s">
        <v>174</v>
      </c>
    </row>
    <row r="7" spans="1:3" x14ac:dyDescent="0.3">
      <c r="A7" t="s">
        <v>171</v>
      </c>
      <c r="B7" t="s">
        <v>172</v>
      </c>
      <c r="C7" t="s">
        <v>173</v>
      </c>
    </row>
    <row r="9" spans="1:3" x14ac:dyDescent="0.3">
      <c r="B9" t="s">
        <v>175</v>
      </c>
    </row>
    <row r="11" spans="1:3" x14ac:dyDescent="0.3">
      <c r="A11" t="s">
        <v>183</v>
      </c>
      <c r="B11" t="s">
        <v>179</v>
      </c>
    </row>
    <row r="12" spans="1:3" x14ac:dyDescent="0.3">
      <c r="A12" t="s">
        <v>184</v>
      </c>
    </row>
    <row r="14" spans="1:3" x14ac:dyDescent="0.3">
      <c r="B14" t="s">
        <v>180</v>
      </c>
    </row>
    <row r="15" spans="1:3" x14ac:dyDescent="0.3">
      <c r="B15" t="s">
        <v>181</v>
      </c>
    </row>
    <row r="16" spans="1:3" x14ac:dyDescent="0.3">
      <c r="B16" t="s">
        <v>182</v>
      </c>
    </row>
    <row r="18" spans="1:3" x14ac:dyDescent="0.3">
      <c r="A18" t="s">
        <v>185</v>
      </c>
      <c r="B18" t="s">
        <v>186</v>
      </c>
      <c r="C18" t="s">
        <v>174</v>
      </c>
    </row>
    <row r="19" spans="1:3" x14ac:dyDescent="0.3">
      <c r="A19" t="s">
        <v>191</v>
      </c>
      <c r="B19" t="s">
        <v>192</v>
      </c>
      <c r="C19" t="s">
        <v>187</v>
      </c>
    </row>
    <row r="20" spans="1:3" x14ac:dyDescent="0.3">
      <c r="B20" t="s">
        <v>193</v>
      </c>
      <c r="C20" t="s">
        <v>188</v>
      </c>
    </row>
    <row r="21" spans="1:3" x14ac:dyDescent="0.3">
      <c r="B21" t="s">
        <v>189</v>
      </c>
      <c r="C21" t="s">
        <v>190</v>
      </c>
    </row>
    <row r="23" spans="1:3" x14ac:dyDescent="0.3">
      <c r="A23" t="s">
        <v>194</v>
      </c>
    </row>
    <row r="24" spans="1:3" x14ac:dyDescent="0.3">
      <c r="A24" t="s">
        <v>195</v>
      </c>
      <c r="B24" t="s">
        <v>196</v>
      </c>
    </row>
    <row r="25" spans="1:3" x14ac:dyDescent="0.3">
      <c r="A25" t="s">
        <v>197</v>
      </c>
      <c r="B25" t="s">
        <v>198</v>
      </c>
    </row>
    <row r="26" spans="1:3" x14ac:dyDescent="0.3">
      <c r="A26" s="2" t="s">
        <v>195</v>
      </c>
      <c r="B26" s="2" t="s">
        <v>199</v>
      </c>
    </row>
    <row r="27" spans="1:3" x14ac:dyDescent="0.3">
      <c r="A27" s="2" t="s">
        <v>200</v>
      </c>
      <c r="B27" s="2" t="s">
        <v>201</v>
      </c>
    </row>
    <row r="28" spans="1:3" x14ac:dyDescent="0.3">
      <c r="A28" s="2" t="s">
        <v>202</v>
      </c>
      <c r="B28" s="2" t="s">
        <v>203</v>
      </c>
    </row>
    <row r="29" spans="1:3" x14ac:dyDescent="0.3">
      <c r="A29" s="2" t="s">
        <v>204</v>
      </c>
      <c r="B29" s="2" t="s">
        <v>205</v>
      </c>
    </row>
    <row r="31" spans="1:3" x14ac:dyDescent="0.3">
      <c r="A31" t="s">
        <v>206</v>
      </c>
      <c r="B31" t="s">
        <v>207</v>
      </c>
    </row>
    <row r="32" spans="1:3" x14ac:dyDescent="0.3">
      <c r="A32" t="s">
        <v>208</v>
      </c>
      <c r="B32" t="s">
        <v>209</v>
      </c>
    </row>
  </sheetData>
  <phoneticPr fontId="6"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3"/>
  <sheetViews>
    <sheetView topLeftCell="A13" workbookViewId="0">
      <selection activeCell="B34" sqref="B34"/>
    </sheetView>
  </sheetViews>
  <sheetFormatPr defaultRowHeight="16.5" x14ac:dyDescent="0.3"/>
  <cols>
    <col min="1" max="1" width="14.875" bestFit="1" customWidth="1"/>
    <col min="2" max="2" width="19.875" bestFit="1" customWidth="1"/>
  </cols>
  <sheetData>
    <row r="1" spans="1:3" x14ac:dyDescent="0.3">
      <c r="A1" t="s">
        <v>210</v>
      </c>
      <c r="B1" t="s">
        <v>211</v>
      </c>
    </row>
    <row r="2" spans="1:3" x14ac:dyDescent="0.3">
      <c r="A2" t="s">
        <v>212</v>
      </c>
      <c r="B2" t="s">
        <v>213</v>
      </c>
      <c r="C2" t="s">
        <v>219</v>
      </c>
    </row>
    <row r="3" spans="1:3" x14ac:dyDescent="0.3">
      <c r="A3" t="s">
        <v>214</v>
      </c>
      <c r="B3" t="s">
        <v>215</v>
      </c>
    </row>
    <row r="4" spans="1:3" x14ac:dyDescent="0.3">
      <c r="A4" t="s">
        <v>216</v>
      </c>
      <c r="B4" t="s">
        <v>217</v>
      </c>
    </row>
    <row r="5" spans="1:3" x14ac:dyDescent="0.3">
      <c r="A5" t="s">
        <v>218</v>
      </c>
      <c r="B5">
        <v>20</v>
      </c>
    </row>
    <row r="6" spans="1:3" x14ac:dyDescent="0.3">
      <c r="A6" t="s">
        <v>220</v>
      </c>
      <c r="B6" t="s">
        <v>221</v>
      </c>
    </row>
    <row r="7" spans="1:3" x14ac:dyDescent="0.3">
      <c r="A7" t="s">
        <v>222</v>
      </c>
    </row>
    <row r="8" spans="1:3" x14ac:dyDescent="0.3">
      <c r="A8" t="s">
        <v>223</v>
      </c>
      <c r="B8" t="s">
        <v>224</v>
      </c>
      <c r="C8">
        <v>0.5</v>
      </c>
    </row>
    <row r="9" spans="1:3" x14ac:dyDescent="0.3">
      <c r="A9" t="s">
        <v>225</v>
      </c>
      <c r="B9" t="s">
        <v>226</v>
      </c>
    </row>
    <row r="10" spans="1:3" x14ac:dyDescent="0.3">
      <c r="A10" t="s">
        <v>227</v>
      </c>
      <c r="B10" t="s">
        <v>228</v>
      </c>
    </row>
    <row r="11" spans="1:3" x14ac:dyDescent="0.3">
      <c r="A11" t="s">
        <v>229</v>
      </c>
      <c r="B11">
        <v>17</v>
      </c>
    </row>
    <row r="12" spans="1:3" x14ac:dyDescent="0.3">
      <c r="A12" t="s">
        <v>230</v>
      </c>
      <c r="B12">
        <v>28</v>
      </c>
    </row>
    <row r="14" spans="1:3" x14ac:dyDescent="0.3">
      <c r="A14" t="s">
        <v>231</v>
      </c>
    </row>
    <row r="15" spans="1:3" x14ac:dyDescent="0.3">
      <c r="A15" s="2" t="s">
        <v>232</v>
      </c>
      <c r="B15" s="2" t="s">
        <v>233</v>
      </c>
    </row>
    <row r="16" spans="1:3" x14ac:dyDescent="0.3">
      <c r="A16" s="2" t="s">
        <v>234</v>
      </c>
      <c r="B16" s="2" t="s">
        <v>235</v>
      </c>
    </row>
    <row r="17" spans="1:3" x14ac:dyDescent="0.3">
      <c r="A17" s="2" t="s">
        <v>236</v>
      </c>
      <c r="B17" s="2" t="s">
        <v>237</v>
      </c>
    </row>
    <row r="18" spans="1:3" x14ac:dyDescent="0.3">
      <c r="A18" s="2" t="s">
        <v>238</v>
      </c>
      <c r="B18" s="2" t="s">
        <v>239</v>
      </c>
    </row>
    <row r="19" spans="1:3" x14ac:dyDescent="0.3">
      <c r="A19" s="2" t="s">
        <v>240</v>
      </c>
      <c r="B19" s="2">
        <v>60000</v>
      </c>
    </row>
    <row r="20" spans="1:3" x14ac:dyDescent="0.3">
      <c r="A20" s="2" t="s">
        <v>241</v>
      </c>
      <c r="B20" s="2">
        <v>81</v>
      </c>
    </row>
    <row r="21" spans="1:3" x14ac:dyDescent="0.3">
      <c r="A21" s="2" t="s">
        <v>242</v>
      </c>
      <c r="B21" s="2">
        <v>0.12</v>
      </c>
    </row>
    <row r="22" spans="1:3" x14ac:dyDescent="0.3">
      <c r="A22" s="2" t="s">
        <v>234</v>
      </c>
      <c r="B22" s="2">
        <v>1.2</v>
      </c>
    </row>
    <row r="23" spans="1:3" x14ac:dyDescent="0.3">
      <c r="A23" s="2" t="s">
        <v>243</v>
      </c>
      <c r="B23" s="2" t="s">
        <v>244</v>
      </c>
    </row>
    <row r="24" spans="1:3" x14ac:dyDescent="0.3">
      <c r="A24" s="2" t="s">
        <v>211</v>
      </c>
      <c r="B24" s="2" t="s">
        <v>245</v>
      </c>
    </row>
    <row r="25" spans="1:3" x14ac:dyDescent="0.3">
      <c r="A25" s="2" t="s">
        <v>246</v>
      </c>
      <c r="B25" s="2" t="s">
        <v>101</v>
      </c>
    </row>
    <row r="26" spans="1:3" x14ac:dyDescent="0.3">
      <c r="A26" s="2" t="s">
        <v>247</v>
      </c>
      <c r="B26" s="2" t="s">
        <v>248</v>
      </c>
    </row>
    <row r="28" spans="1:3" x14ac:dyDescent="0.3">
      <c r="A28" t="s">
        <v>249</v>
      </c>
    </row>
    <row r="29" spans="1:3" x14ac:dyDescent="0.3">
      <c r="A29" t="s">
        <v>250</v>
      </c>
      <c r="B29">
        <v>52</v>
      </c>
      <c r="C29" t="s">
        <v>251</v>
      </c>
    </row>
    <row r="30" spans="1:3" x14ac:dyDescent="0.3">
      <c r="A30" t="s">
        <v>252</v>
      </c>
      <c r="B30" t="s">
        <v>253</v>
      </c>
      <c r="C30" t="s">
        <v>254</v>
      </c>
    </row>
    <row r="31" spans="1:3" x14ac:dyDescent="0.3">
      <c r="A31">
        <v>1000</v>
      </c>
    </row>
    <row r="32" spans="1:3" x14ac:dyDescent="0.3">
      <c r="A32" t="s">
        <v>255</v>
      </c>
      <c r="B32" t="s">
        <v>256</v>
      </c>
    </row>
    <row r="33" spans="1:2" x14ac:dyDescent="0.3">
      <c r="A33" t="s">
        <v>257</v>
      </c>
      <c r="B33" t="s">
        <v>258</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
  <sheetViews>
    <sheetView workbookViewId="0">
      <selection activeCell="A20" sqref="A20"/>
    </sheetView>
  </sheetViews>
  <sheetFormatPr defaultRowHeight="16.5" x14ac:dyDescent="0.3"/>
  <cols>
    <col min="1" max="1" width="12.25" bestFit="1" customWidth="1"/>
    <col min="2" max="2" width="23.625" bestFit="1" customWidth="1"/>
    <col min="3" max="3" width="11.5" bestFit="1" customWidth="1"/>
    <col min="5" max="5" width="11.75" bestFit="1" customWidth="1"/>
    <col min="6" max="6" width="22.375" bestFit="1" customWidth="1"/>
    <col min="7" max="7" width="33.875" bestFit="1" customWidth="1"/>
  </cols>
  <sheetData>
    <row r="1" spans="1:7" x14ac:dyDescent="0.3">
      <c r="A1" t="s">
        <v>259</v>
      </c>
      <c r="B1" t="s">
        <v>260</v>
      </c>
      <c r="C1" t="s">
        <v>261</v>
      </c>
      <c r="E1" t="s">
        <v>278</v>
      </c>
      <c r="F1" t="s">
        <v>279</v>
      </c>
      <c r="G1" t="s">
        <v>280</v>
      </c>
    </row>
    <row r="2" spans="1:7" x14ac:dyDescent="0.3">
      <c r="B2">
        <v>12</v>
      </c>
      <c r="G2" t="s">
        <v>281</v>
      </c>
    </row>
    <row r="3" spans="1:7" ht="66" x14ac:dyDescent="0.3">
      <c r="A3" s="3" t="s">
        <v>262</v>
      </c>
      <c r="G3" t="s">
        <v>282</v>
      </c>
    </row>
    <row r="4" spans="1:7" x14ac:dyDescent="0.3">
      <c r="A4" t="s">
        <v>263</v>
      </c>
      <c r="B4" t="s">
        <v>264</v>
      </c>
      <c r="C4" t="s">
        <v>265</v>
      </c>
      <c r="G4" t="s">
        <v>283</v>
      </c>
    </row>
    <row r="5" spans="1:7" x14ac:dyDescent="0.3">
      <c r="A5" t="s">
        <v>266</v>
      </c>
      <c r="B5" t="s">
        <v>267</v>
      </c>
      <c r="C5" t="s">
        <v>268</v>
      </c>
      <c r="G5" t="s">
        <v>284</v>
      </c>
    </row>
    <row r="7" spans="1:7" x14ac:dyDescent="0.3">
      <c r="A7" t="s">
        <v>269</v>
      </c>
    </row>
    <row r="8" spans="1:7" x14ac:dyDescent="0.3">
      <c r="A8" t="s">
        <v>270</v>
      </c>
      <c r="B8" t="s">
        <v>271</v>
      </c>
      <c r="C8" t="s">
        <v>194</v>
      </c>
    </row>
    <row r="9" spans="1:7" x14ac:dyDescent="0.3">
      <c r="A9" t="s">
        <v>272</v>
      </c>
      <c r="B9" t="s">
        <v>273</v>
      </c>
    </row>
    <row r="10" spans="1:7" x14ac:dyDescent="0.3">
      <c r="A10" t="s">
        <v>274</v>
      </c>
      <c r="B10" t="s">
        <v>275</v>
      </c>
    </row>
    <row r="11" spans="1:7" x14ac:dyDescent="0.3">
      <c r="A11" t="s">
        <v>276</v>
      </c>
      <c r="B11" t="s">
        <v>277</v>
      </c>
      <c r="E11" t="s">
        <v>293</v>
      </c>
    </row>
    <row r="12" spans="1:7" x14ac:dyDescent="0.3">
      <c r="A12" t="s">
        <v>285</v>
      </c>
      <c r="B12" t="s">
        <v>286</v>
      </c>
      <c r="E12" t="s">
        <v>294</v>
      </c>
      <c r="F12" t="s">
        <v>295</v>
      </c>
    </row>
    <row r="13" spans="1:7" x14ac:dyDescent="0.3">
      <c r="A13" t="s">
        <v>287</v>
      </c>
      <c r="B13" t="s">
        <v>288</v>
      </c>
      <c r="E13" t="s">
        <v>296</v>
      </c>
      <c r="F13" t="s">
        <v>297</v>
      </c>
      <c r="G13" t="s">
        <v>298</v>
      </c>
    </row>
    <row r="14" spans="1:7" x14ac:dyDescent="0.3">
      <c r="A14" t="s">
        <v>289</v>
      </c>
      <c r="B14" t="s">
        <v>290</v>
      </c>
      <c r="E14" t="s">
        <v>125</v>
      </c>
      <c r="F14" t="s">
        <v>299</v>
      </c>
    </row>
    <row r="15" spans="1:7" x14ac:dyDescent="0.3">
      <c r="A15" t="s">
        <v>291</v>
      </c>
      <c r="B15" t="s">
        <v>292</v>
      </c>
      <c r="E15" t="s">
        <v>249</v>
      </c>
      <c r="F15" t="s">
        <v>300</v>
      </c>
    </row>
    <row r="16" spans="1:7" x14ac:dyDescent="0.3">
      <c r="E16" t="s">
        <v>301</v>
      </c>
      <c r="F16" t="s">
        <v>299</v>
      </c>
    </row>
    <row r="17" spans="1:6" x14ac:dyDescent="0.3">
      <c r="E17" t="s">
        <v>302</v>
      </c>
      <c r="F17" t="s">
        <v>303</v>
      </c>
    </row>
    <row r="18" spans="1:6" x14ac:dyDescent="0.3">
      <c r="A18" t="s">
        <v>304</v>
      </c>
    </row>
    <row r="19" spans="1:6" x14ac:dyDescent="0.3">
      <c r="A19" t="s">
        <v>305</v>
      </c>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9"/>
  <sheetViews>
    <sheetView workbookViewId="0">
      <selection activeCell="B2" sqref="B2"/>
    </sheetView>
  </sheetViews>
  <sheetFormatPr defaultRowHeight="16.5" x14ac:dyDescent="0.3"/>
  <cols>
    <col min="1" max="2" width="83.25" bestFit="1" customWidth="1"/>
    <col min="3" max="3" width="35" bestFit="1" customWidth="1"/>
    <col min="4" max="5" width="9.5" bestFit="1" customWidth="1"/>
  </cols>
  <sheetData>
    <row r="1" spans="1:5" ht="26.25" x14ac:dyDescent="0.45">
      <c r="A1" s="11" t="s">
        <v>306</v>
      </c>
      <c r="B1" s="6" t="s">
        <v>307</v>
      </c>
      <c r="E1" s="14"/>
    </row>
    <row r="2" spans="1:5" x14ac:dyDescent="0.3">
      <c r="A2" s="10" t="s">
        <v>308</v>
      </c>
      <c r="B2" s="7" t="s">
        <v>309</v>
      </c>
      <c r="E2" s="7"/>
    </row>
    <row r="3" spans="1:5" ht="49.5" x14ac:dyDescent="0.3">
      <c r="A3" s="10" t="s">
        <v>310</v>
      </c>
      <c r="B3" s="7" t="s">
        <v>311</v>
      </c>
      <c r="E3" s="7"/>
    </row>
    <row r="4" spans="1:5" ht="49.5" x14ac:dyDescent="0.3">
      <c r="A4" s="10" t="s">
        <v>312</v>
      </c>
      <c r="B4" s="7" t="s">
        <v>313</v>
      </c>
      <c r="E4" s="7"/>
    </row>
    <row r="5" spans="1:5" ht="33" x14ac:dyDescent="0.3">
      <c r="A5" s="12" t="s">
        <v>314</v>
      </c>
      <c r="B5" s="8" t="s">
        <v>315</v>
      </c>
      <c r="E5" s="7"/>
    </row>
    <row r="6" spans="1:5" ht="33" x14ac:dyDescent="0.3">
      <c r="A6" s="10" t="s">
        <v>316</v>
      </c>
      <c r="B6" s="8" t="s">
        <v>317</v>
      </c>
      <c r="E6" s="7"/>
    </row>
    <row r="7" spans="1:5" ht="17.25" thickBot="1" x14ac:dyDescent="0.35">
      <c r="A7" s="10" t="s">
        <v>318</v>
      </c>
      <c r="B7" s="7" t="s">
        <v>319</v>
      </c>
      <c r="E7" s="9"/>
    </row>
    <row r="8" spans="1:5" ht="33" x14ac:dyDescent="0.3">
      <c r="A8" s="10" t="s">
        <v>320</v>
      </c>
      <c r="B8" s="7" t="s">
        <v>321</v>
      </c>
    </row>
    <row r="9" spans="1:5" ht="33" x14ac:dyDescent="0.3">
      <c r="A9" s="10" t="s">
        <v>322</v>
      </c>
      <c r="B9" s="8" t="s">
        <v>323</v>
      </c>
    </row>
    <row r="10" spans="1:5" ht="33" x14ac:dyDescent="0.3">
      <c r="A10" s="10" t="s">
        <v>324</v>
      </c>
      <c r="B10" s="7"/>
    </row>
    <row r="11" spans="1:5" ht="66.75" thickBot="1" x14ac:dyDescent="0.35">
      <c r="A11" s="13" t="s">
        <v>325</v>
      </c>
      <c r="B11" s="9"/>
    </row>
    <row r="12" spans="1:5" x14ac:dyDescent="0.3">
      <c r="A12" s="4"/>
    </row>
    <row r="13" spans="1:5" x14ac:dyDescent="0.3">
      <c r="A13" s="4"/>
    </row>
    <row r="14" spans="1:5" ht="26.25" x14ac:dyDescent="0.5">
      <c r="A14" s="5" t="s">
        <v>326</v>
      </c>
    </row>
    <row r="15" spans="1:5" x14ac:dyDescent="0.3">
      <c r="A15" s="2" t="s">
        <v>327</v>
      </c>
    </row>
    <row r="16" spans="1:5" x14ac:dyDescent="0.3">
      <c r="A16" s="2" t="s">
        <v>328</v>
      </c>
    </row>
    <row r="17" spans="1:1" x14ac:dyDescent="0.3">
      <c r="A17" s="2" t="s">
        <v>329</v>
      </c>
    </row>
    <row r="18" spans="1:1" x14ac:dyDescent="0.3">
      <c r="A18" s="2" t="s">
        <v>330</v>
      </c>
    </row>
    <row r="19" spans="1:1" x14ac:dyDescent="0.3">
      <c r="A19" s="4"/>
    </row>
  </sheetData>
  <phoneticPr fontId="6"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7"/>
  <sheetViews>
    <sheetView workbookViewId="0">
      <selection activeCell="A25" sqref="A25:H25"/>
    </sheetView>
  </sheetViews>
  <sheetFormatPr defaultRowHeight="16.5" x14ac:dyDescent="0.3"/>
  <sheetData>
    <row r="1" spans="1:8" x14ac:dyDescent="0.3">
      <c r="A1" s="18" t="s">
        <v>331</v>
      </c>
      <c r="B1" s="18"/>
      <c r="C1" s="18"/>
      <c r="D1" s="18"/>
    </row>
    <row r="2" spans="1:8" x14ac:dyDescent="0.3">
      <c r="A2" s="17" t="s">
        <v>332</v>
      </c>
      <c r="B2" s="17"/>
      <c r="C2" s="17"/>
      <c r="D2" s="17"/>
      <c r="E2" s="17"/>
      <c r="F2" s="17"/>
      <c r="G2" s="17"/>
      <c r="H2" s="17"/>
    </row>
    <row r="3" spans="1:8" x14ac:dyDescent="0.3">
      <c r="A3" s="17" t="s">
        <v>333</v>
      </c>
      <c r="B3" s="17"/>
      <c r="C3" s="17"/>
      <c r="D3" s="17"/>
      <c r="E3" s="17"/>
      <c r="F3" s="17"/>
      <c r="G3" s="17"/>
      <c r="H3" s="17"/>
    </row>
    <row r="4" spans="1:8" x14ac:dyDescent="0.3">
      <c r="A4" s="17" t="s">
        <v>334</v>
      </c>
      <c r="B4" s="17"/>
      <c r="C4" s="17"/>
      <c r="D4" s="17"/>
      <c r="E4" s="17"/>
      <c r="F4" s="17"/>
      <c r="G4" s="17"/>
      <c r="H4" s="17"/>
    </row>
    <row r="5" spans="1:8" x14ac:dyDescent="0.3">
      <c r="A5" s="17" t="s">
        <v>335</v>
      </c>
      <c r="B5" s="17"/>
      <c r="C5" s="17"/>
      <c r="D5" s="17"/>
      <c r="E5" s="17"/>
      <c r="F5" s="17"/>
      <c r="G5" s="17"/>
      <c r="H5" s="17"/>
    </row>
    <row r="6" spans="1:8" x14ac:dyDescent="0.3">
      <c r="A6" s="17" t="s">
        <v>336</v>
      </c>
      <c r="B6" s="17"/>
      <c r="C6" s="17"/>
      <c r="D6" s="17"/>
      <c r="E6" s="17"/>
      <c r="F6" s="17"/>
      <c r="G6" s="17"/>
      <c r="H6" s="17"/>
    </row>
    <row r="7" spans="1:8" x14ac:dyDescent="0.3">
      <c r="A7" s="17"/>
      <c r="B7" s="17"/>
      <c r="C7" s="17"/>
      <c r="D7" s="17"/>
      <c r="E7" s="17"/>
      <c r="F7" s="17"/>
      <c r="G7" s="17"/>
      <c r="H7" s="17"/>
    </row>
    <row r="8" spans="1:8" x14ac:dyDescent="0.3">
      <c r="A8" s="17"/>
      <c r="B8" s="17"/>
      <c r="C8" s="17"/>
      <c r="D8" s="17"/>
      <c r="E8" s="17"/>
      <c r="F8" s="17"/>
      <c r="G8" s="17"/>
      <c r="H8" s="17"/>
    </row>
    <row r="9" spans="1:8" x14ac:dyDescent="0.3">
      <c r="A9" s="17" t="s">
        <v>337</v>
      </c>
      <c r="B9" s="17"/>
      <c r="C9" s="17"/>
      <c r="D9" s="17"/>
      <c r="E9" s="17"/>
      <c r="F9" s="17"/>
      <c r="G9" s="17"/>
      <c r="H9" s="17"/>
    </row>
    <row r="10" spans="1:8" x14ac:dyDescent="0.3">
      <c r="A10" s="17" t="s">
        <v>338</v>
      </c>
      <c r="B10" s="17"/>
      <c r="C10" s="17"/>
      <c r="D10" s="17"/>
      <c r="E10" s="17"/>
      <c r="F10" s="17"/>
      <c r="G10" s="17"/>
      <c r="H10" s="17"/>
    </row>
    <row r="11" spans="1:8" x14ac:dyDescent="0.3">
      <c r="A11" s="17" t="s">
        <v>339</v>
      </c>
      <c r="B11" s="17"/>
      <c r="C11" s="17"/>
      <c r="D11" s="17"/>
      <c r="E11" s="17"/>
      <c r="F11" s="17"/>
      <c r="G11" s="17"/>
      <c r="H11" s="17"/>
    </row>
    <row r="12" spans="1:8" x14ac:dyDescent="0.3">
      <c r="A12" s="17" t="s">
        <v>340</v>
      </c>
      <c r="B12" s="17"/>
      <c r="C12" s="17"/>
      <c r="D12" s="17"/>
      <c r="E12" s="17"/>
      <c r="F12" s="17"/>
      <c r="G12" s="17"/>
      <c r="H12" s="17"/>
    </row>
    <row r="13" spans="1:8" x14ac:dyDescent="0.3">
      <c r="A13" s="17" t="s">
        <v>341</v>
      </c>
      <c r="B13" s="17"/>
      <c r="C13" s="17"/>
      <c r="D13" s="17"/>
      <c r="E13" s="17"/>
      <c r="F13" s="17"/>
      <c r="G13" s="17"/>
      <c r="H13" s="17"/>
    </row>
    <row r="14" spans="1:8" x14ac:dyDescent="0.3">
      <c r="A14" s="17" t="s">
        <v>342</v>
      </c>
      <c r="B14" s="17"/>
      <c r="C14" s="17"/>
      <c r="D14" s="17"/>
      <c r="E14" s="17"/>
      <c r="F14" s="17"/>
      <c r="G14" s="17"/>
      <c r="H14" s="17"/>
    </row>
    <row r="15" spans="1:8" x14ac:dyDescent="0.3">
      <c r="A15" s="17" t="s">
        <v>343</v>
      </c>
      <c r="B15" s="17"/>
      <c r="C15" s="17"/>
      <c r="D15" s="17"/>
      <c r="E15" s="17"/>
      <c r="F15" s="17"/>
      <c r="G15" s="17"/>
      <c r="H15" s="17"/>
    </row>
    <row r="16" spans="1:8" x14ac:dyDescent="0.3">
      <c r="A16" s="17"/>
      <c r="B16" s="17"/>
      <c r="C16" s="17"/>
      <c r="D16" s="17"/>
      <c r="E16" s="17"/>
      <c r="F16" s="17"/>
      <c r="G16" s="17"/>
      <c r="H16" s="17"/>
    </row>
    <row r="17" spans="1:8" x14ac:dyDescent="0.3">
      <c r="A17" s="15" t="s">
        <v>344</v>
      </c>
      <c r="B17" s="4"/>
      <c r="C17" s="4"/>
      <c r="D17" s="4"/>
      <c r="E17" s="4"/>
      <c r="F17" s="4"/>
      <c r="G17" s="4"/>
      <c r="H17" s="4"/>
    </row>
    <row r="18" spans="1:8" x14ac:dyDescent="0.3">
      <c r="A18" s="19"/>
      <c r="B18" s="19"/>
      <c r="C18" s="19"/>
      <c r="D18" s="19"/>
      <c r="E18" s="19"/>
      <c r="F18" s="19"/>
      <c r="G18" s="19"/>
      <c r="H18" s="19"/>
    </row>
    <row r="19" spans="1:8" x14ac:dyDescent="0.3">
      <c r="A19" s="19"/>
      <c r="B19" s="19"/>
      <c r="C19" s="19"/>
      <c r="D19" s="19"/>
      <c r="E19" s="19"/>
      <c r="F19" s="19"/>
      <c r="G19" s="19"/>
      <c r="H19" s="19"/>
    </row>
    <row r="20" spans="1:8" x14ac:dyDescent="0.3">
      <c r="A20" s="19"/>
      <c r="B20" s="19"/>
      <c r="C20" s="19"/>
      <c r="D20" s="19"/>
      <c r="E20" s="19"/>
      <c r="F20" s="19"/>
      <c r="G20" s="19"/>
      <c r="H20" s="19"/>
    </row>
    <row r="21" spans="1:8" x14ac:dyDescent="0.3">
      <c r="A21" s="19"/>
      <c r="B21" s="19"/>
      <c r="C21" s="19"/>
      <c r="D21" s="19"/>
      <c r="E21" s="19"/>
      <c r="F21" s="19"/>
      <c r="G21" s="19"/>
      <c r="H21" s="19"/>
    </row>
    <row r="22" spans="1:8" x14ac:dyDescent="0.3">
      <c r="A22" s="19"/>
      <c r="B22" s="19"/>
      <c r="C22" s="19"/>
      <c r="D22" s="19"/>
      <c r="E22" s="19"/>
      <c r="F22" s="19"/>
      <c r="G22" s="19"/>
      <c r="H22" s="19"/>
    </row>
    <row r="23" spans="1:8" x14ac:dyDescent="0.3">
      <c r="A23" s="19"/>
      <c r="B23" s="19"/>
      <c r="C23" s="19"/>
      <c r="D23" s="19"/>
      <c r="E23" s="19"/>
      <c r="F23" s="19"/>
      <c r="G23" s="19"/>
      <c r="H23" s="19"/>
    </row>
    <row r="24" spans="1:8" x14ac:dyDescent="0.3">
      <c r="A24" s="19"/>
      <c r="B24" s="19"/>
      <c r="C24" s="19"/>
      <c r="D24" s="19"/>
      <c r="E24" s="19"/>
      <c r="F24" s="19"/>
      <c r="G24" s="19"/>
      <c r="H24" s="19"/>
    </row>
    <row r="25" spans="1:8" x14ac:dyDescent="0.3">
      <c r="A25" s="19"/>
      <c r="B25" s="19"/>
      <c r="C25" s="19"/>
      <c r="D25" s="19"/>
      <c r="E25" s="19"/>
      <c r="F25" s="19"/>
      <c r="G25" s="19"/>
      <c r="H25" s="19"/>
    </row>
    <row r="26" spans="1:8" x14ac:dyDescent="0.3">
      <c r="A26" s="19"/>
      <c r="B26" s="19"/>
      <c r="C26" s="19"/>
      <c r="D26" s="19"/>
      <c r="E26" s="19"/>
      <c r="F26" s="19"/>
      <c r="G26" s="19"/>
      <c r="H26" s="19"/>
    </row>
    <row r="27" spans="1:8" x14ac:dyDescent="0.3">
      <c r="A27" s="19"/>
      <c r="B27" s="19"/>
      <c r="C27" s="19"/>
      <c r="D27" s="19"/>
      <c r="E27" s="19"/>
      <c r="F27" s="19"/>
      <c r="G27" s="19"/>
      <c r="H27" s="19"/>
    </row>
    <row r="28" spans="1:8" x14ac:dyDescent="0.3">
      <c r="A28" s="19"/>
      <c r="B28" s="19"/>
      <c r="C28" s="19"/>
      <c r="D28" s="19"/>
      <c r="E28" s="19"/>
      <c r="F28" s="19"/>
      <c r="G28" s="19"/>
      <c r="H28" s="19"/>
    </row>
    <row r="29" spans="1:8" x14ac:dyDescent="0.3">
      <c r="A29" s="19"/>
      <c r="B29" s="19"/>
      <c r="C29" s="19"/>
      <c r="D29" s="19"/>
      <c r="E29" s="19"/>
      <c r="F29" s="19"/>
      <c r="G29" s="19"/>
      <c r="H29" s="19"/>
    </row>
    <row r="30" spans="1:8" x14ac:dyDescent="0.3">
      <c r="A30" s="19"/>
      <c r="B30" s="19"/>
      <c r="C30" s="19"/>
      <c r="D30" s="19"/>
      <c r="E30" s="19"/>
      <c r="F30" s="19"/>
      <c r="G30" s="19"/>
      <c r="H30" s="19"/>
    </row>
    <row r="31" spans="1:8" x14ac:dyDescent="0.3">
      <c r="A31" s="19"/>
      <c r="B31" s="19"/>
      <c r="C31" s="19"/>
      <c r="D31" s="19"/>
      <c r="E31" s="19"/>
      <c r="F31" s="19"/>
      <c r="G31" s="19"/>
      <c r="H31" s="19"/>
    </row>
    <row r="32" spans="1:8" x14ac:dyDescent="0.3">
      <c r="A32" s="19"/>
      <c r="B32" s="19"/>
      <c r="C32" s="19"/>
      <c r="D32" s="19"/>
      <c r="E32" s="19"/>
      <c r="F32" s="19"/>
      <c r="G32" s="19"/>
      <c r="H32" s="19"/>
    </row>
    <row r="33" spans="1:8" x14ac:dyDescent="0.3">
      <c r="A33" s="19"/>
      <c r="B33" s="19"/>
      <c r="C33" s="19"/>
      <c r="D33" s="19"/>
      <c r="E33" s="19"/>
      <c r="F33" s="19"/>
      <c r="G33" s="19"/>
      <c r="H33" s="19"/>
    </row>
    <row r="34" spans="1:8" x14ac:dyDescent="0.3">
      <c r="A34" s="19"/>
      <c r="B34" s="19"/>
      <c r="C34" s="19"/>
      <c r="D34" s="19"/>
      <c r="E34" s="19"/>
      <c r="F34" s="19"/>
      <c r="G34" s="19"/>
      <c r="H34" s="19"/>
    </row>
    <row r="35" spans="1:8" x14ac:dyDescent="0.3">
      <c r="A35" s="19"/>
      <c r="B35" s="19"/>
      <c r="C35" s="19"/>
      <c r="D35" s="19"/>
      <c r="E35" s="19"/>
      <c r="F35" s="19"/>
      <c r="G35" s="19"/>
      <c r="H35" s="19"/>
    </row>
    <row r="36" spans="1:8" x14ac:dyDescent="0.3">
      <c r="A36" s="19"/>
      <c r="B36" s="19"/>
      <c r="C36" s="19"/>
      <c r="D36" s="19"/>
      <c r="E36" s="19"/>
      <c r="F36" s="19"/>
      <c r="G36" s="19"/>
      <c r="H36" s="19"/>
    </row>
    <row r="37" spans="1:8" x14ac:dyDescent="0.3">
      <c r="A37" s="19"/>
      <c r="B37" s="19"/>
      <c r="C37" s="19"/>
      <c r="D37" s="19"/>
      <c r="E37" s="19"/>
      <c r="F37" s="19"/>
      <c r="G37" s="19"/>
      <c r="H37" s="19"/>
    </row>
  </sheetData>
  <mergeCells count="36">
    <mergeCell ref="A37:H37"/>
    <mergeCell ref="A31:H31"/>
    <mergeCell ref="A32:H32"/>
    <mergeCell ref="A33:H33"/>
    <mergeCell ref="A34:H34"/>
    <mergeCell ref="A35:H35"/>
    <mergeCell ref="A36:H36"/>
    <mergeCell ref="A30:H30"/>
    <mergeCell ref="A19:H19"/>
    <mergeCell ref="A20:H20"/>
    <mergeCell ref="A21:H21"/>
    <mergeCell ref="A22:H22"/>
    <mergeCell ref="A23:H23"/>
    <mergeCell ref="A24:H24"/>
    <mergeCell ref="A25:H25"/>
    <mergeCell ref="A26:H26"/>
    <mergeCell ref="A27:H27"/>
    <mergeCell ref="A28:H28"/>
    <mergeCell ref="A29:H29"/>
    <mergeCell ref="A13:H13"/>
    <mergeCell ref="A14:H14"/>
    <mergeCell ref="A15:H15"/>
    <mergeCell ref="A16:H16"/>
    <mergeCell ref="A18:H18"/>
    <mergeCell ref="A12:H12"/>
    <mergeCell ref="A1:D1"/>
    <mergeCell ref="A2:H2"/>
    <mergeCell ref="A3:H3"/>
    <mergeCell ref="A4:H4"/>
    <mergeCell ref="A5:H5"/>
    <mergeCell ref="A6:H6"/>
    <mergeCell ref="A7:H7"/>
    <mergeCell ref="A8:H8"/>
    <mergeCell ref="A9:H9"/>
    <mergeCell ref="A10:H10"/>
    <mergeCell ref="A11:H11"/>
  </mergeCells>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1"/>
  <sheetViews>
    <sheetView workbookViewId="0">
      <selection activeCell="A10" sqref="A10:A11"/>
    </sheetView>
  </sheetViews>
  <sheetFormatPr defaultRowHeight="16.5" x14ac:dyDescent="0.3"/>
  <cols>
    <col min="1" max="1" width="60.125" bestFit="1" customWidth="1"/>
    <col min="2" max="2" width="28.375" customWidth="1"/>
    <col min="3" max="3" width="15.375" bestFit="1" customWidth="1"/>
  </cols>
  <sheetData>
    <row r="1" spans="1:4" x14ac:dyDescent="0.3">
      <c r="A1" t="s">
        <v>345</v>
      </c>
      <c r="B1" t="s">
        <v>354</v>
      </c>
      <c r="C1" t="s">
        <v>357</v>
      </c>
    </row>
    <row r="2" spans="1:4" x14ac:dyDescent="0.3">
      <c r="A2" t="s">
        <v>349</v>
      </c>
      <c r="B2" t="s">
        <v>73</v>
      </c>
      <c r="C2" t="s">
        <v>358</v>
      </c>
      <c r="D2" t="s">
        <v>369</v>
      </c>
    </row>
    <row r="3" spans="1:4" x14ac:dyDescent="0.3">
      <c r="A3" t="s">
        <v>346</v>
      </c>
      <c r="B3" t="s">
        <v>365</v>
      </c>
      <c r="C3" t="s">
        <v>359</v>
      </c>
    </row>
    <row r="4" spans="1:4" x14ac:dyDescent="0.3">
      <c r="A4" t="s">
        <v>347</v>
      </c>
      <c r="B4" t="s">
        <v>355</v>
      </c>
      <c r="C4" t="s">
        <v>360</v>
      </c>
    </row>
    <row r="5" spans="1:4" x14ac:dyDescent="0.3">
      <c r="A5" t="s">
        <v>348</v>
      </c>
      <c r="B5" t="s">
        <v>366</v>
      </c>
      <c r="C5" t="s">
        <v>361</v>
      </c>
    </row>
    <row r="6" spans="1:4" x14ac:dyDescent="0.3">
      <c r="B6" t="s">
        <v>356</v>
      </c>
      <c r="C6" t="s">
        <v>362</v>
      </c>
    </row>
    <row r="7" spans="1:4" x14ac:dyDescent="0.3">
      <c r="A7" t="s">
        <v>350</v>
      </c>
      <c r="B7" t="s">
        <v>367</v>
      </c>
      <c r="C7" t="s">
        <v>363</v>
      </c>
      <c r="D7" t="s">
        <v>370</v>
      </c>
    </row>
    <row r="8" spans="1:4" x14ac:dyDescent="0.3">
      <c r="A8" t="s">
        <v>351</v>
      </c>
      <c r="C8" t="s">
        <v>364</v>
      </c>
    </row>
    <row r="9" spans="1:4" x14ac:dyDescent="0.3">
      <c r="C9" t="s">
        <v>368</v>
      </c>
    </row>
    <row r="10" spans="1:4" x14ac:dyDescent="0.3">
      <c r="A10" t="s">
        <v>353</v>
      </c>
    </row>
    <row r="11" spans="1:4" x14ac:dyDescent="0.3">
      <c r="A11" t="s">
        <v>352</v>
      </c>
    </row>
  </sheetData>
  <phoneticPr fontId="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
  <sheetViews>
    <sheetView workbookViewId="0">
      <selection activeCell="B4" sqref="B4"/>
    </sheetView>
  </sheetViews>
  <sheetFormatPr defaultRowHeight="16.5" x14ac:dyDescent="0.3"/>
  <cols>
    <col min="1" max="1" width="17.625" customWidth="1"/>
    <col min="2" max="2" width="32.875" bestFit="1" customWidth="1"/>
  </cols>
  <sheetData>
    <row r="1" spans="1:2" x14ac:dyDescent="0.3">
      <c r="A1" s="16" t="s">
        <v>371</v>
      </c>
      <c r="B1" s="16" t="s">
        <v>372</v>
      </c>
    </row>
    <row r="2" spans="1:2" x14ac:dyDescent="0.3">
      <c r="A2" s="2" t="s">
        <v>239</v>
      </c>
      <c r="B2" s="2" t="s">
        <v>374</v>
      </c>
    </row>
    <row r="3" spans="1:2" x14ac:dyDescent="0.3">
      <c r="A3" s="2" t="s">
        <v>373</v>
      </c>
      <c r="B3" s="2" t="s">
        <v>375</v>
      </c>
    </row>
    <row r="4" spans="1:2" x14ac:dyDescent="0.3">
      <c r="A4" s="2" t="s">
        <v>355</v>
      </c>
      <c r="B4" s="2" t="s">
        <v>376</v>
      </c>
    </row>
    <row r="5" spans="1:2" x14ac:dyDescent="0.3">
      <c r="A5" s="2"/>
      <c r="B5" s="2"/>
    </row>
    <row r="6" spans="1:2" x14ac:dyDescent="0.3">
      <c r="A6" s="2"/>
      <c r="B6" s="2"/>
    </row>
    <row r="7" spans="1:2" x14ac:dyDescent="0.3">
      <c r="A7" s="2"/>
      <c r="B7" s="2"/>
    </row>
    <row r="8" spans="1:2" x14ac:dyDescent="0.3">
      <c r="A8" s="2"/>
      <c r="B8" s="2"/>
    </row>
    <row r="9" spans="1:2" x14ac:dyDescent="0.3">
      <c r="A9" s="2"/>
      <c r="B9" s="2"/>
    </row>
    <row r="10" spans="1:2" x14ac:dyDescent="0.3">
      <c r="A10" s="2"/>
      <c r="B10" s="2"/>
    </row>
  </sheetData>
  <phoneticPr fontId="6"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DAY-1(한글)</vt:lpstr>
      <vt:lpstr>DAY-1</vt:lpstr>
      <vt:lpstr>DAY-2</vt:lpstr>
      <vt:lpstr>Day-3</vt:lpstr>
      <vt:lpstr>DAY-4</vt:lpstr>
      <vt:lpstr>DAY-5</vt:lpstr>
      <vt:lpstr>DAY-6</vt:lpstr>
      <vt:lpstr>Grounding</vt:lpstr>
      <vt:lpstr>day-10</vt:lpstr>
      <vt:lpstr>Bonus Session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2025-08-01T08:24:46Z</dcterms:modified>
</cp:coreProperties>
</file>